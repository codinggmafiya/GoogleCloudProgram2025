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<sst xmlns="http://schemas.openxmlformats.org/spreadsheetml/2006/main" count="502" uniqueCount="502">
  <si>
    <t>original_match</t>
  </si>
  <si>
    <t>normalized</t>
  </si>
  <si>
    <t>+91 7599 914 088</t>
  </si>
  <si>
    <t>+91 820 969 4164</t>
  </si>
  <si>
    <t>+91 92975 63850</t>
  </si>
  <si>
    <t>+91 91335 41316</t>
  </si>
  <si>
    <t>+93 78 875 2235</t>
  </si>
  <si>
    <t>+91 87984 35648</t>
  </si>
  <si>
    <t>+91 80812 52094</t>
  </si>
  <si>
    <t>+91 70189 25106</t>
  </si>
  <si>
    <t>+91 88861 79360</t>
  </si>
  <si>
    <t>+91 82870 46213</t>
  </si>
  <si>
    <t>+91 6353 085 578</t>
  </si>
  <si>
    <t>+91 91231 56319</t>
  </si>
  <si>
    <t>+91 836 818 8021</t>
  </si>
  <si>
    <t>+91 89217 28664</t>
  </si>
  <si>
    <t>+91 91405 58549</t>
  </si>
  <si>
    <t>+967 772 700 884</t>
  </si>
  <si>
    <t>+91 73791 14595</t>
  </si>
  <si>
    <t>+91 80158 81841</t>
  </si>
  <si>
    <t>+91 97619 55281</t>
  </si>
  <si>
    <t>+91 96493 46723</t>
  </si>
  <si>
    <t>+234 701 577 2761</t>
  </si>
  <si>
    <t>+91 98705 18656</t>
  </si>
  <si>
    <t>+91 79017 60078</t>
  </si>
  <si>
    <t>+91 82643 22057</t>
  </si>
  <si>
    <t>+91 91068 52814</t>
  </si>
  <si>
    <t>+91 79939 75693</t>
  </si>
  <si>
    <t>+91 836 070 9072</t>
  </si>
  <si>
    <t>+91 93093 96913</t>
  </si>
  <si>
    <t>+91 97199 01103</t>
  </si>
  <si>
    <t>+91 97178 70732</t>
  </si>
  <si>
    <t>+91 99159 41957</t>
  </si>
  <si>
    <t>+94 71 894 1734</t>
  </si>
  <si>
    <t>+91 70617 69038</t>
  </si>
  <si>
    <t>+91 90028 99489</t>
  </si>
  <si>
    <t>+255 693 785 317</t>
  </si>
  <si>
    <t>+91 82524 98912</t>
  </si>
  <si>
    <t>+91 866 088 6782</t>
  </si>
  <si>
    <t>+91 97787 40642</t>
  </si>
  <si>
    <t>+91 79006 23462</t>
  </si>
  <si>
    <t>+91 88053 62051</t>
  </si>
  <si>
    <t>+91 93220 17432</t>
  </si>
  <si>
    <t>+91 70184 25511</t>
  </si>
  <si>
    <t>+93 70 721 3199</t>
  </si>
  <si>
    <t>+91 7428 109 280</t>
  </si>
  <si>
    <t>+91 94546 10575</t>
  </si>
  <si>
    <t>+233 54 395 5085</t>
  </si>
  <si>
    <t>+91 90984 16212</t>
  </si>
  <si>
    <t>+91 89560 52859</t>
  </si>
  <si>
    <t>+91 821 906 9737</t>
  </si>
  <si>
    <t>+91 78658 55818</t>
  </si>
  <si>
    <t>+91 94733 61739</t>
  </si>
  <si>
    <t>+91 82914 17510</t>
  </si>
  <si>
    <t>+91 98739 23585</t>
  </si>
  <si>
    <t>+91 884 045 2576</t>
  </si>
  <si>
    <t>+91 89603 65849</t>
  </si>
  <si>
    <t>+91 7498 380 318</t>
  </si>
  <si>
    <t>+91 832 952 5076</t>
  </si>
  <si>
    <t>+91 99496 30445</t>
  </si>
  <si>
    <t>+91 79083 41812</t>
  </si>
  <si>
    <t>+91 89995 48065</t>
  </si>
  <si>
    <t>+93 70 207 2788</t>
  </si>
  <si>
    <t>+91 97928 42260</t>
  </si>
  <si>
    <t>+880 1780-287994</t>
  </si>
  <si>
    <t>+91 93545 04599</t>
  </si>
  <si>
    <t>+91 63745 42972</t>
  </si>
  <si>
    <t>+91 93507 80566</t>
  </si>
  <si>
    <t>+91 93432 82254</t>
  </si>
  <si>
    <t>+91 99589 95471</t>
  </si>
  <si>
    <t>+91 96475 83109</t>
  </si>
  <si>
    <t>+91 79883 11631</t>
  </si>
  <si>
    <t>+91 97297 56098</t>
  </si>
  <si>
    <t>+91 82278 48078</t>
  </si>
  <si>
    <t>+91 96501 45762</t>
  </si>
  <si>
    <t>+1 (548) 510-2677</t>
  </si>
  <si>
    <t>+254 795 183358</t>
  </si>
  <si>
    <t>+91 87553 97289</t>
  </si>
  <si>
    <t>+91 94709 81520</t>
  </si>
  <si>
    <t>+233 53 535 8496</t>
  </si>
  <si>
    <t>+91 78777 27660</t>
  </si>
  <si>
    <t>+91 60054 51608</t>
  </si>
  <si>
    <t>+91 89202 11624</t>
  </si>
  <si>
    <t>+91 80165 41874</t>
  </si>
  <si>
    <t>+91 97814 84603</t>
  </si>
  <si>
    <t>+91 82679 17055</t>
  </si>
  <si>
    <t>+91 73779 03913</t>
  </si>
  <si>
    <t>+91 81749 00844</t>
  </si>
  <si>
    <t>+91 76784 46544</t>
  </si>
  <si>
    <t>+967 773 653 484</t>
  </si>
  <si>
    <t>+91 75698 69303</t>
  </si>
  <si>
    <t>+91 99070 74056</t>
  </si>
  <si>
    <t>+91 93546 19939</t>
  </si>
  <si>
    <t>+91 86504 31832</t>
  </si>
  <si>
    <t>+967 775 356 061</t>
  </si>
  <si>
    <t>+62 895-1073-0434</t>
  </si>
  <si>
    <t>+91 6282 063 291</t>
  </si>
  <si>
    <t>+91 7644 910 631</t>
  </si>
  <si>
    <t>+91 86240 86816</t>
  </si>
  <si>
    <t>+91 90312 40501</t>
  </si>
  <si>
    <t>+91 6289 536 886</t>
  </si>
  <si>
    <t>+91 8073 733 616</t>
  </si>
  <si>
    <t>+91 91468 70510</t>
  </si>
  <si>
    <t>+91 95812 98491</t>
  </si>
  <si>
    <t>+233 55 967 9555</t>
  </si>
  <si>
    <t>+91 89828 75256</t>
  </si>
  <si>
    <t>+967 773 443 460</t>
  </si>
  <si>
    <t>+91 79 7900 2822</t>
  </si>
  <si>
    <t>+91 76667 83405</t>
  </si>
  <si>
    <t>+91 96988 72125</t>
  </si>
  <si>
    <t>+91 81483 58835</t>
  </si>
  <si>
    <t>+91 90011 70838</t>
  </si>
  <si>
    <t>+91 95801 85684</t>
  </si>
  <si>
    <t>+91 95935 70458</t>
  </si>
  <si>
    <t>+91 7607 874 301</t>
  </si>
  <si>
    <t>+91 63747 40715</t>
  </si>
  <si>
    <t>+91 93639 86419</t>
  </si>
  <si>
    <t>+91 7498 165 465</t>
  </si>
  <si>
    <t>+91 94539 91472</t>
  </si>
  <si>
    <t>+91 76964 10370</t>
  </si>
  <si>
    <t>+91 90249 79676</t>
  </si>
  <si>
    <t>+91 80021 34282</t>
  </si>
  <si>
    <t>+91 92635 35306</t>
  </si>
  <si>
    <t>+91 91539 20729</t>
  </si>
  <si>
    <t>+91 92659 37916</t>
  </si>
  <si>
    <t>+91 73758 40993</t>
  </si>
  <si>
    <t>+234 915 080 7924</t>
  </si>
  <si>
    <t>+91 88262 38118</t>
  </si>
  <si>
    <t>+91 96770 96669</t>
  </si>
  <si>
    <t>+91 90381 67000</t>
  </si>
  <si>
    <t>+93 73 154 3841</t>
  </si>
  <si>
    <t>+93 74 556 5606</t>
  </si>
  <si>
    <t>+91 88881 30977</t>
  </si>
  <si>
    <t>+91 95492 15301</t>
  </si>
  <si>
    <t>+91 70919 14531</t>
  </si>
  <si>
    <t>+91 72941 30491</t>
  </si>
  <si>
    <t>+91 91108 65189</t>
  </si>
  <si>
    <t>+91 94333 53891</t>
  </si>
  <si>
    <t>+91 94212 10032</t>
  </si>
  <si>
    <t>+91 7396 830 998</t>
  </si>
  <si>
    <t>+254 794 617242</t>
  </si>
  <si>
    <t>+91 89027 88045</t>
  </si>
  <si>
    <t>+91 99563 62290</t>
  </si>
  <si>
    <t>+91 97235 46322</t>
  </si>
  <si>
    <t>+91 79943 48850</t>
  </si>
  <si>
    <t>+91 75063 24761</t>
  </si>
  <si>
    <t>+91 82578 17448</t>
  </si>
  <si>
    <t>+91 62006 67861</t>
  </si>
  <si>
    <t>+91 98777 76550</t>
  </si>
  <si>
    <t>+91 84608 21310</t>
  </si>
  <si>
    <t>+91 90765 01870</t>
  </si>
  <si>
    <t>+91 92572 76931</t>
  </si>
  <si>
    <t>+91 86581 81722</t>
  </si>
  <si>
    <t>+91 96132 80281</t>
  </si>
  <si>
    <t>+1 (214) 605-1778</t>
  </si>
  <si>
    <t>+91 7639 721 163</t>
  </si>
  <si>
    <t>+93 70 543 2881</t>
  </si>
  <si>
    <t>+91 7488 959 647</t>
  </si>
  <si>
    <t>+91 97669 36776</t>
  </si>
  <si>
    <t>+91 80947 77372</t>
  </si>
  <si>
    <t>+93 78 935 4632</t>
  </si>
  <si>
    <t>+91 94391 13943</t>
  </si>
  <si>
    <t>+91 93026 41417</t>
  </si>
  <si>
    <t>+91 883 768 5835</t>
  </si>
  <si>
    <t>+91 90500 38430</t>
  </si>
  <si>
    <t>+233 53 687 6829</t>
  </si>
  <si>
    <t>+91 82739 39726</t>
  </si>
  <si>
    <t>+91 70022 99105</t>
  </si>
  <si>
    <t>+91 99006 23039</t>
  </si>
  <si>
    <t>+91 90418 72217</t>
  </si>
  <si>
    <t>+243 980 237 355</t>
  </si>
  <si>
    <t>+91 70955 38230</t>
  </si>
  <si>
    <t>+91 94247 55205</t>
  </si>
  <si>
    <t>+91 77419 81209</t>
  </si>
  <si>
    <t>+91 93728 20453</t>
  </si>
  <si>
    <t>+91 96082 41280</t>
  </si>
  <si>
    <t>+91 91505 57842</t>
  </si>
  <si>
    <t>+91 870 832 4263</t>
  </si>
  <si>
    <t>+91 81214 04962</t>
  </si>
  <si>
    <t>+91 89202 81731</t>
  </si>
  <si>
    <t>+91 8077 873 651</t>
  </si>
  <si>
    <t>+91 85282 89632</t>
  </si>
  <si>
    <t>+91 99956 08341</t>
  </si>
  <si>
    <t>+91 78717 16071</t>
  </si>
  <si>
    <t>+91 99111 12874</t>
  </si>
  <si>
    <t>+91 93268 84558</t>
  </si>
  <si>
    <t>+91 7321 058 791</t>
  </si>
  <si>
    <t>+91 94718 47735</t>
  </si>
  <si>
    <t>+91 79996 27759</t>
  </si>
  <si>
    <t>+91 63920 89823</t>
  </si>
  <si>
    <t>+91 70092 97284</t>
  </si>
  <si>
    <t>+91 77395 44070</t>
  </si>
  <si>
    <t>+91 98742 15549</t>
  </si>
  <si>
    <t>+91 92346 82772</t>
  </si>
  <si>
    <t>+91 870 923 4538</t>
  </si>
  <si>
    <t>+91 78219 84918</t>
  </si>
  <si>
    <t>+91 63921 37577</t>
  </si>
  <si>
    <t>+91 90813 49311</t>
  </si>
  <si>
    <t>+91 98469 10047</t>
  </si>
  <si>
    <t>+91 92335 20455</t>
  </si>
  <si>
    <t>+91 78271 71615</t>
  </si>
  <si>
    <t>+91 6284 251 951</t>
  </si>
  <si>
    <t>+91 79066 73880</t>
  </si>
  <si>
    <t>+91 90152 39212</t>
  </si>
  <si>
    <t>+91 90910 94375</t>
  </si>
  <si>
    <t>+254 783 040345</t>
  </si>
  <si>
    <t>+91 82648 13936</t>
  </si>
  <si>
    <t>+91 97434 23016</t>
  </si>
  <si>
    <t>+91 95485 61809</t>
  </si>
  <si>
    <t>+91 94307 27071</t>
  </si>
  <si>
    <t>+91 77340 87431</t>
  </si>
  <si>
    <t>+91 91102 68212</t>
  </si>
  <si>
    <t>+91 755 105 6159</t>
  </si>
  <si>
    <t>+967 772 930 307</t>
  </si>
  <si>
    <t>+91 91052 86992</t>
  </si>
  <si>
    <t>+91 84688 65597</t>
  </si>
  <si>
    <t>+91 95995 79683</t>
  </si>
  <si>
    <t>+91 884 748 8034</t>
  </si>
  <si>
    <t>+91 72752 51741</t>
  </si>
  <si>
    <t>+91 98230 61931</t>
  </si>
  <si>
    <t>+233 55 913 1744</t>
  </si>
  <si>
    <t>+91 63821 03170</t>
  </si>
  <si>
    <t>+91 93075 72252</t>
  </si>
  <si>
    <t>+92 370 3708179</t>
  </si>
  <si>
    <t>+91 88251 97145</t>
  </si>
  <si>
    <t>+91 96466 50314</t>
  </si>
  <si>
    <t>+91 81035 56005</t>
  </si>
  <si>
    <t>+91 78000 31559</t>
  </si>
  <si>
    <t>+91 7430 989 859</t>
  </si>
  <si>
    <t>+91 95558 28042</t>
  </si>
  <si>
    <t>+91 99050 12854</t>
  </si>
  <si>
    <t>+234 708 141 3681</t>
  </si>
  <si>
    <t>+91 95640 52892</t>
  </si>
  <si>
    <t>+91 78050 70538</t>
  </si>
  <si>
    <t>+91 85956 61712</t>
  </si>
  <si>
    <t>+91 97239 01521</t>
  </si>
  <si>
    <t>+91 81569 24429</t>
  </si>
  <si>
    <t>+91 85306 61932</t>
  </si>
  <si>
    <t>+91 93224 80437</t>
  </si>
  <si>
    <t>+58 416-3232268</t>
  </si>
  <si>
    <t>+91 63818 57537</t>
  </si>
  <si>
    <t>+91 70573 79415</t>
  </si>
  <si>
    <t>+91 7464 845 220</t>
  </si>
  <si>
    <t>+91 95115 48654</t>
  </si>
  <si>
    <t>+91 63767 17966</t>
  </si>
  <si>
    <t>+91 82877 89429</t>
  </si>
  <si>
    <t>+91 85903 24488</t>
  </si>
  <si>
    <t>+91 78178 82614</t>
  </si>
  <si>
    <t>+91 79 7817 9493</t>
  </si>
  <si>
    <t>+91 83746 45103</t>
  </si>
  <si>
    <t>+91 90468 25556</t>
  </si>
  <si>
    <t>+967 774 324 035</t>
  </si>
  <si>
    <t>+91 93892 44903</t>
  </si>
  <si>
    <t>+91 90050 58847</t>
  </si>
  <si>
    <t>+233 55 637 0093</t>
  </si>
  <si>
    <t>+91 92076 34459</t>
  </si>
  <si>
    <t>+91 84709 95947</t>
  </si>
  <si>
    <t>+967 774 937 679</t>
  </si>
  <si>
    <t>+91 90151 21334</t>
  </si>
  <si>
    <t>+91 85298 05060</t>
  </si>
  <si>
    <t>+91 70839 94534</t>
  </si>
  <si>
    <t>+91 7498 749 357</t>
  </si>
  <si>
    <t>+91 891 096 8028</t>
  </si>
  <si>
    <t>+91 99900 21555</t>
  </si>
  <si>
    <t>+91 95385 38314</t>
  </si>
  <si>
    <t>+91 81463 82673</t>
  </si>
  <si>
    <t>+93 77 324 2186</t>
  </si>
  <si>
    <t>+91 90059 09879</t>
  </si>
  <si>
    <t>+91 98905 13728</t>
  </si>
  <si>
    <t>+971 52 490 7221</t>
  </si>
  <si>
    <t>+254 736 887547</t>
  </si>
  <si>
    <t>+91 95791 99694</t>
  </si>
  <si>
    <t>+91 70247 29872</t>
  </si>
  <si>
    <t>+91 85905 35407</t>
  </si>
  <si>
    <t>+91 76762 19364</t>
  </si>
  <si>
    <t>+91 90924 79191</t>
  </si>
  <si>
    <t>+98 921 767 4589</t>
  </si>
  <si>
    <t>+967 772 493 425</t>
  </si>
  <si>
    <t>+91 92052 62025</t>
  </si>
  <si>
    <t>+91 62055 04149</t>
  </si>
  <si>
    <t>+91 97721 53393</t>
  </si>
  <si>
    <t>+91 73770 30697</t>
  </si>
  <si>
    <t>+91 70371 93712</t>
  </si>
  <si>
    <t>+254 783 006437</t>
  </si>
  <si>
    <t>+91 95184 35936</t>
  </si>
  <si>
    <t>+91 98952 28374</t>
  </si>
  <si>
    <t>+91 7499 100 554</t>
  </si>
  <si>
    <t>+66 96 318 1375</t>
  </si>
  <si>
    <t>+91 83988 22127</t>
  </si>
  <si>
    <t>+91 73710 65195</t>
  </si>
  <si>
    <t>+233 55 392 8052</t>
  </si>
  <si>
    <t>+91 7483 631 428</t>
  </si>
  <si>
    <t>+91 82526 93079</t>
  </si>
  <si>
    <t>+91 63779 19244</t>
  </si>
  <si>
    <t>+91 94229 35518</t>
  </si>
  <si>
    <t>+91 91098 07366</t>
  </si>
  <si>
    <t>+91 878 891 3863</t>
  </si>
  <si>
    <t>+91 62007 68518</t>
  </si>
  <si>
    <t>+93 70 722 1883</t>
  </si>
  <si>
    <t>+92 316 1059039</t>
  </si>
  <si>
    <t>+60 10-423 9051</t>
  </si>
  <si>
    <t>+91 93892 27499</t>
  </si>
  <si>
    <t>+91 820 861 7204</t>
  </si>
  <si>
    <t>+91 97552 76720</t>
  </si>
  <si>
    <t>+91 92271 84492</t>
  </si>
  <si>
    <t>+91 90333 61617</t>
  </si>
  <si>
    <t>+91 85959 91880</t>
  </si>
  <si>
    <t>+91 94660 80707</t>
  </si>
  <si>
    <t>+91 95678 28734</t>
  </si>
  <si>
    <t>+91 77449 80469</t>
  </si>
  <si>
    <t>+91 84710 66817</t>
  </si>
  <si>
    <t>+91 70415 22881</t>
  </si>
  <si>
    <t>+91 820 922 2056</t>
  </si>
  <si>
    <t>+91 87299 04741</t>
  </si>
  <si>
    <t>+91 747 090 1729</t>
  </si>
  <si>
    <t>+91 95487 91717</t>
  </si>
  <si>
    <t>+91 7465 813 569</t>
  </si>
  <si>
    <t>+91 62631 17080</t>
  </si>
  <si>
    <t>+92 331 9100754</t>
  </si>
  <si>
    <t>+93 76 647 5362</t>
  </si>
  <si>
    <t>+91 97709 76983</t>
  </si>
  <si>
    <t>+91 884 073 4291</t>
  </si>
  <si>
    <t>+91 93913 83281</t>
  </si>
  <si>
    <t>+91 884 037 9633</t>
  </si>
  <si>
    <t>+91 70688 89884</t>
  </si>
  <si>
    <t>+91 78733 33923</t>
  </si>
  <si>
    <t>+91 94574 07325</t>
  </si>
  <si>
    <t>+91 821 969 7761</t>
  </si>
  <si>
    <t>+91 93010 84259</t>
  </si>
  <si>
    <t>+91 98884 87237</t>
  </si>
  <si>
    <t>+91 96731 19545</t>
  </si>
  <si>
    <t>+254 746 830542</t>
  </si>
  <si>
    <t>+91 85093 82256</t>
  </si>
  <si>
    <t>+91 94929 94850</t>
  </si>
  <si>
    <t>+91 89518 03760</t>
  </si>
  <si>
    <t>+971 55 185 9035</t>
  </si>
  <si>
    <t>+91 70361 70562</t>
  </si>
  <si>
    <t>+91 70153 07525</t>
  </si>
  <si>
    <t>+91 83799 27148</t>
  </si>
  <si>
    <t>+91 98965 94225</t>
  </si>
  <si>
    <t>+91 79 7202 2179</t>
  </si>
  <si>
    <t>+91 70609 62148</t>
  </si>
  <si>
    <t>+91 831 882 5707</t>
  </si>
  <si>
    <t>+91 99491 52973</t>
  </si>
  <si>
    <t>+91 73556 41687</t>
  </si>
  <si>
    <t>+91 90129 63967</t>
  </si>
  <si>
    <t>+91 70610 67545</t>
  </si>
  <si>
    <t>+91 7654 031 747</t>
  </si>
  <si>
    <t>+91 82796 58488</t>
  </si>
  <si>
    <t>+91 96113 40674</t>
  </si>
  <si>
    <t>+233 27 999 9991</t>
  </si>
  <si>
    <t>+91 63620 54858</t>
  </si>
  <si>
    <t>+91 70691 45999</t>
  </si>
  <si>
    <t>+91 91395 65646</t>
  </si>
  <si>
    <t>+91 62007 54135</t>
  </si>
  <si>
    <t>+91 78797 39117</t>
  </si>
  <si>
    <t>+251 94 195 2482</t>
  </si>
  <si>
    <t>+91 80045 88330</t>
  </si>
  <si>
    <t>+91 75489 12973</t>
  </si>
  <si>
    <t>+93 77 378 5569</t>
  </si>
  <si>
    <t>+91 70467 35288</t>
  </si>
  <si>
    <t>+91 70825 79972</t>
  </si>
  <si>
    <t>+91 73811 77424</t>
  </si>
  <si>
    <t>+961 81 451 498</t>
  </si>
  <si>
    <t>+91 94694 02078</t>
  </si>
  <si>
    <t>+91 7411 407 871</t>
  </si>
  <si>
    <t>+91 63692 19877</t>
  </si>
  <si>
    <t>+91 62630 50470</t>
  </si>
  <si>
    <t>+91 81426 65276</t>
  </si>
  <si>
    <t>+967 779 779 280</t>
  </si>
  <si>
    <t>+91 96617 23774</t>
  </si>
  <si>
    <t>+91 820 868 1625</t>
  </si>
  <si>
    <t>+91 6290 182 876</t>
  </si>
  <si>
    <t>+91 88081 91815</t>
  </si>
  <si>
    <t>+58 426-0282033</t>
  </si>
  <si>
    <t>+91 7411 729 978</t>
  </si>
  <si>
    <t>+91 83021 31720</t>
  </si>
  <si>
    <t>+91 72506 27917</t>
  </si>
  <si>
    <t>+91 92348 07252</t>
  </si>
  <si>
    <t>+91 90648 13661</t>
  </si>
  <si>
    <t>+91 77354 11835</t>
  </si>
  <si>
    <t>+91 90152 85981</t>
  </si>
  <si>
    <t>+20 11 18327863</t>
  </si>
  <si>
    <t>+91 98345 93465</t>
  </si>
  <si>
    <t>+91 90416 67058</t>
  </si>
  <si>
    <t>+91 73784 54897</t>
  </si>
  <si>
    <t>+98 937 073 3716</t>
  </si>
  <si>
    <t>+91 83970 00834</t>
  </si>
  <si>
    <t>+91 816 009 5822</t>
  </si>
  <si>
    <t>+234 816 464 0060</t>
  </si>
  <si>
    <t>+91 96529 52336</t>
  </si>
  <si>
    <t>+91 63779 36497</t>
  </si>
  <si>
    <t>+91 96748 82472</t>
  </si>
  <si>
    <t>+91 76686 85375</t>
  </si>
  <si>
    <t>+91 91427 91653</t>
  </si>
  <si>
    <t>+91 74055 14501</t>
  </si>
  <si>
    <t>+91 92354 46645</t>
  </si>
  <si>
    <t>+91 98374 78094</t>
  </si>
  <si>
    <t>+91 90825 80821</t>
  </si>
  <si>
    <t>+91 97719 40048</t>
  </si>
  <si>
    <t>+91 95764 20270</t>
  </si>
  <si>
    <t>+91 80063 76513</t>
  </si>
  <si>
    <t>+91 63757 89628</t>
  </si>
  <si>
    <t>+91 79 7555 0258</t>
  </si>
  <si>
    <t>+91 99710 10024</t>
  </si>
  <si>
    <t>+91 97843 92170</t>
  </si>
  <si>
    <t>+91 99841 61708</t>
  </si>
  <si>
    <t>+91 85438 35345</t>
  </si>
  <si>
    <t>+91 79832 36866</t>
  </si>
  <si>
    <t>+91 84273 20519</t>
  </si>
  <si>
    <t>+91 89212 61305</t>
  </si>
  <si>
    <t>+91 88533 79808</t>
  </si>
  <si>
    <t>+233 20 564 2984</t>
  </si>
  <si>
    <t>+91 89349 13144</t>
  </si>
  <si>
    <t>+91 88609 54056</t>
  </si>
  <si>
    <t>+91 93063 53678</t>
  </si>
  <si>
    <t>+91 84352 08995</t>
  </si>
  <si>
    <t>+93 78 498 2491</t>
  </si>
  <si>
    <t>+91 78558 30889</t>
  </si>
  <si>
    <t>+63 927 293 9177</t>
  </si>
  <si>
    <t>+91 84358 89396</t>
  </si>
  <si>
    <t>+91 82790 31283</t>
  </si>
  <si>
    <t>+91 77424 29593</t>
  </si>
  <si>
    <t>+91 70602 99915</t>
  </si>
  <si>
    <t>+91 93371 23121</t>
  </si>
  <si>
    <t>+91 99474 28797</t>
  </si>
  <si>
    <t>+91 95735 58036</t>
  </si>
  <si>
    <t>+91 88595 27251</t>
  </si>
  <si>
    <t>+91 87909 89261</t>
  </si>
  <si>
    <t>+91 95481 19740</t>
  </si>
  <si>
    <t>+91 89553 70523</t>
  </si>
  <si>
    <t>+91 99869 18618</t>
  </si>
  <si>
    <t>+91 70735 47965</t>
  </si>
  <si>
    <t>+91 96516 25216</t>
  </si>
  <si>
    <t>+91 75750 41075</t>
  </si>
  <si>
    <t>+91 76997 59627</t>
  </si>
  <si>
    <t>+91 62633 97357</t>
  </si>
  <si>
    <t>+91 93996 78055</t>
  </si>
  <si>
    <t>+91 94839 81820</t>
  </si>
  <si>
    <t>+91 89213 63833</t>
  </si>
  <si>
    <t>+91 866 704 8106</t>
  </si>
  <si>
    <t>+91 88238 50769</t>
  </si>
  <si>
    <t>+91 98716 26874</t>
  </si>
  <si>
    <t>+91 78286 13263</t>
  </si>
  <si>
    <t>+62 895-2254-5877</t>
  </si>
  <si>
    <t>+91 91991 63958</t>
  </si>
  <si>
    <t>+91 89218 14191</t>
  </si>
  <si>
    <t>+91 82923 51751</t>
  </si>
  <si>
    <t>+91 820 868 0074</t>
  </si>
  <si>
    <t>+91 89564 24892</t>
  </si>
  <si>
    <t>+91 90788 50117</t>
  </si>
  <si>
    <t>+91 70032 45361</t>
  </si>
  <si>
    <t>+91 73556 31411</t>
  </si>
  <si>
    <t>+93 78 365 6592</t>
  </si>
  <si>
    <t>+91 93596 88903</t>
  </si>
  <si>
    <t>+91 7704 052 175</t>
  </si>
  <si>
    <t>+91 83403 50801</t>
  </si>
  <si>
    <t>+91 93500 46044</t>
  </si>
  <si>
    <t>+91 82628 61845</t>
  </si>
  <si>
    <t>+91 81778 14448</t>
  </si>
  <si>
    <t>+254 113 269465</t>
  </si>
  <si>
    <t>+91 92396 97155</t>
  </si>
  <si>
    <t>+91 831 946 8578</t>
  </si>
  <si>
    <t>+91 97642 54630</t>
  </si>
  <si>
    <t>+91 88944 99759</t>
  </si>
  <si>
    <t>+91 99419 93474</t>
  </si>
  <si>
    <t>+91 751 018 1820</t>
  </si>
  <si>
    <t>+91 76700 56167</t>
  </si>
  <si>
    <t>+91 91407 12042</t>
  </si>
  <si>
    <t>+91 870 800 1215</t>
  </si>
  <si>
    <t>+91 79052 64765</t>
  </si>
  <si>
    <t>+91 98968 23922</t>
  </si>
  <si>
    <t>+977 982-4858625</t>
  </si>
  <si>
    <t>+91 7652 851 870</t>
  </si>
  <si>
    <t>+44 7534 039754</t>
  </si>
  <si>
    <t>+91 93801 14868</t>
  </si>
  <si>
    <t>+91 76962 44756</t>
  </si>
  <si>
    <t>+91 89696 98514</t>
  </si>
  <si>
    <t>+91 96891 89354</t>
  </si>
  <si>
    <t>+91 63944 13200</t>
  </si>
  <si>
    <t>+91 78146 89654</t>
  </si>
  <si>
    <t>+91 63981 10850</t>
  </si>
  <si>
    <t>+254 700 851351</t>
  </si>
  <si>
    <t>+91 95050 40198</t>
  </si>
  <si>
    <t>+91 863 770 6873</t>
  </si>
  <si>
    <t>+91 90602 58018</t>
  </si>
  <si>
    <t>+91 95088 86279</t>
  </si>
  <si>
    <t>+91 75691 46753</t>
  </si>
  <si>
    <t>+91 96961 31914</t>
  </si>
  <si>
    <t>+91 87500 58923</t>
  </si>
  <si>
    <t>+91 97677 17684</t>
  </si>
  <si>
    <t>+91 88751 42120</t>
  </si>
  <si>
    <t>+91 89797 98902</t>
  </si>
  <si>
    <t>+91 96516 47726</t>
  </si>
  <si>
    <t>+91 63825 60179</t>
  </si>
  <si>
    <t>+91 62648 30014</t>
  </si>
  <si>
    <t>+91 63931 45171</t>
  </si>
  <si>
    <t>+91 788 026 9678</t>
  </si>
  <si>
    <t>+91 6350 362 152</t>
  </si>
  <si>
    <t>+91 98175 86060</t>
  </si>
  <si>
    <t>+91 80805 52112</t>
  </si>
  <si>
    <t>+91 821 052 0089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</si>
</sst>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f>"+917599914088"</f>
        <v>0</v>
      </c>
    </row>
    <row r="3" spans="1:2">
      <c r="A3" t="s">
        <v>3</v>
      </c>
      <c r="B3">
        <f>"+918209694164"</f>
        <v>0</v>
      </c>
    </row>
    <row r="4" spans="1:2">
      <c r="A4" t="s">
        <v>4</v>
      </c>
      <c r="B4">
        <f>"+919297563850"</f>
        <v>0</v>
      </c>
    </row>
    <row r="5" spans="1:2">
      <c r="A5" t="s">
        <v>5</v>
      </c>
      <c r="B5">
        <f>"+919133541316"</f>
        <v>0</v>
      </c>
    </row>
    <row r="6" spans="1:2">
      <c r="A6" t="s">
        <v>6</v>
      </c>
      <c r="B6">
        <f>"+93788752235"</f>
        <v>0</v>
      </c>
    </row>
    <row r="7" spans="1:2">
      <c r="A7" t="s">
        <v>7</v>
      </c>
      <c r="B7">
        <f>"+918798435648"</f>
        <v>0</v>
      </c>
    </row>
    <row r="8" spans="1:2">
      <c r="A8" t="s">
        <v>8</v>
      </c>
      <c r="B8">
        <f>"+918081252094"</f>
        <v>0</v>
      </c>
    </row>
    <row r="9" spans="1:2">
      <c r="A9" t="s">
        <v>9</v>
      </c>
      <c r="B9">
        <f>"+917018925106"</f>
        <v>0</v>
      </c>
    </row>
    <row r="10" spans="1:2">
      <c r="A10" t="s">
        <v>10</v>
      </c>
      <c r="B10">
        <f>"+918886179360"</f>
        <v>0</v>
      </c>
    </row>
    <row r="11" spans="1:2">
      <c r="A11" t="s">
        <v>11</v>
      </c>
      <c r="B11">
        <f>"+918287046213"</f>
        <v>0</v>
      </c>
    </row>
    <row r="12" spans="1:2">
      <c r="A12" t="s">
        <v>12</v>
      </c>
      <c r="B12">
        <f>"+916353085578"</f>
        <v>0</v>
      </c>
    </row>
    <row r="13" spans="1:2">
      <c r="A13" t="s">
        <v>13</v>
      </c>
      <c r="B13">
        <f>"+919123156319"</f>
        <v>0</v>
      </c>
    </row>
    <row r="14" spans="1:2">
      <c r="A14" t="s">
        <v>14</v>
      </c>
      <c r="B14">
        <f>"+918368188021"</f>
        <v>0</v>
      </c>
    </row>
    <row r="15" spans="1:2">
      <c r="A15" t="s">
        <v>15</v>
      </c>
      <c r="B15">
        <f>"+918921728664"</f>
        <v>0</v>
      </c>
    </row>
    <row r="16" spans="1:2">
      <c r="A16" t="s">
        <v>16</v>
      </c>
      <c r="B16">
        <f>"+919140558549"</f>
        <v>0</v>
      </c>
    </row>
    <row r="17" spans="1:2">
      <c r="A17" t="s">
        <v>17</v>
      </c>
      <c r="B17">
        <f>"+967772700884"</f>
        <v>0</v>
      </c>
    </row>
    <row r="18" spans="1:2">
      <c r="A18" t="s">
        <v>18</v>
      </c>
      <c r="B18">
        <f>"+917379114595"</f>
        <v>0</v>
      </c>
    </row>
    <row r="19" spans="1:2">
      <c r="A19" t="s">
        <v>19</v>
      </c>
      <c r="B19">
        <f>"+918015881841"</f>
        <v>0</v>
      </c>
    </row>
    <row r="20" spans="1:2">
      <c r="A20" t="s">
        <v>20</v>
      </c>
      <c r="B20">
        <f>"+919761955281"</f>
        <v>0</v>
      </c>
    </row>
    <row r="21" spans="1:2">
      <c r="A21" t="s">
        <v>21</v>
      </c>
      <c r="B21">
        <f>"+919649346723"</f>
        <v>0</v>
      </c>
    </row>
    <row r="22" spans="1:2">
      <c r="A22" t="s">
        <v>22</v>
      </c>
      <c r="B22">
        <f>"+2347015772761"</f>
        <v>0</v>
      </c>
    </row>
    <row r="23" spans="1:2">
      <c r="A23" t="s">
        <v>23</v>
      </c>
      <c r="B23">
        <f>"+919870518656"</f>
        <v>0</v>
      </c>
    </row>
    <row r="24" spans="1:2">
      <c r="A24" t="s">
        <v>24</v>
      </c>
      <c r="B24">
        <f>"+917901760078"</f>
        <v>0</v>
      </c>
    </row>
    <row r="25" spans="1:2">
      <c r="A25" t="s">
        <v>25</v>
      </c>
      <c r="B25">
        <f>"+918264322057"</f>
        <v>0</v>
      </c>
    </row>
    <row r="26" spans="1:2">
      <c r="A26" t="s">
        <v>26</v>
      </c>
      <c r="B26">
        <f>"+919106852814"</f>
        <v>0</v>
      </c>
    </row>
    <row r="27" spans="1:2">
      <c r="A27" t="s">
        <v>27</v>
      </c>
      <c r="B27">
        <f>"+917993975693"</f>
        <v>0</v>
      </c>
    </row>
    <row r="28" spans="1:2">
      <c r="A28" t="s">
        <v>28</v>
      </c>
      <c r="B28">
        <f>"+918360709072"</f>
        <v>0</v>
      </c>
    </row>
    <row r="29" spans="1:2">
      <c r="A29" t="s">
        <v>29</v>
      </c>
      <c r="B29">
        <f>"+919309396913"</f>
        <v>0</v>
      </c>
    </row>
    <row r="30" spans="1:2">
      <c r="A30" t="s">
        <v>30</v>
      </c>
      <c r="B30">
        <f>"+919719901103"</f>
        <v>0</v>
      </c>
    </row>
    <row r="31" spans="1:2">
      <c r="A31" t="s">
        <v>31</v>
      </c>
      <c r="B31">
        <f>"+919717870732"</f>
        <v>0</v>
      </c>
    </row>
    <row r="32" spans="1:2">
      <c r="A32" t="s">
        <v>32</v>
      </c>
      <c r="B32">
        <f>"+919915941957"</f>
        <v>0</v>
      </c>
    </row>
    <row r="33" spans="1:2">
      <c r="A33" t="s">
        <v>33</v>
      </c>
      <c r="B33">
        <f>"+94718941734"</f>
        <v>0</v>
      </c>
    </row>
    <row r="34" spans="1:2">
      <c r="A34" t="s">
        <v>34</v>
      </c>
      <c r="B34">
        <f>"+917061769038"</f>
        <v>0</v>
      </c>
    </row>
    <row r="35" spans="1:2">
      <c r="A35" t="s">
        <v>35</v>
      </c>
      <c r="B35">
        <f>"+919002899489"</f>
        <v>0</v>
      </c>
    </row>
    <row r="36" spans="1:2">
      <c r="A36" t="s">
        <v>36</v>
      </c>
      <c r="B36">
        <f>"+255693785317"</f>
        <v>0</v>
      </c>
    </row>
    <row r="37" spans="1:2">
      <c r="A37" t="s">
        <v>37</v>
      </c>
      <c r="B37">
        <f>"+918252498912"</f>
        <v>0</v>
      </c>
    </row>
    <row r="38" spans="1:2">
      <c r="A38" t="s">
        <v>38</v>
      </c>
      <c r="B38">
        <f>"+918660886782"</f>
        <v>0</v>
      </c>
    </row>
    <row r="39" spans="1:2">
      <c r="A39" t="s">
        <v>39</v>
      </c>
      <c r="B39">
        <f>"+919778740642"</f>
        <v>0</v>
      </c>
    </row>
    <row r="40" spans="1:2">
      <c r="A40" t="s">
        <v>40</v>
      </c>
      <c r="B40">
        <f>"+917900623462"</f>
        <v>0</v>
      </c>
    </row>
    <row r="41" spans="1:2">
      <c r="A41" t="s">
        <v>41</v>
      </c>
      <c r="B41">
        <f>"+918805362051"</f>
        <v>0</v>
      </c>
    </row>
    <row r="42" spans="1:2">
      <c r="A42" t="s">
        <v>42</v>
      </c>
      <c r="B42">
        <f>"+919322017432"</f>
        <v>0</v>
      </c>
    </row>
    <row r="43" spans="1:2">
      <c r="A43" t="s">
        <v>43</v>
      </c>
      <c r="B43">
        <f>"+917018425511"</f>
        <v>0</v>
      </c>
    </row>
    <row r="44" spans="1:2">
      <c r="A44" t="s">
        <v>44</v>
      </c>
      <c r="B44">
        <f>"+93707213199"</f>
        <v>0</v>
      </c>
    </row>
    <row r="45" spans="1:2">
      <c r="A45" t="s">
        <v>45</v>
      </c>
      <c r="B45">
        <f>"+917428109280"</f>
        <v>0</v>
      </c>
    </row>
    <row r="46" spans="1:2">
      <c r="A46" t="s">
        <v>46</v>
      </c>
      <c r="B46">
        <f>"+919454610575"</f>
        <v>0</v>
      </c>
    </row>
    <row r="47" spans="1:2">
      <c r="A47" t="s">
        <v>47</v>
      </c>
      <c r="B47">
        <f>"+233543955085"</f>
        <v>0</v>
      </c>
    </row>
    <row r="48" spans="1:2">
      <c r="A48" t="s">
        <v>48</v>
      </c>
      <c r="B48">
        <f>"+919098416212"</f>
        <v>0</v>
      </c>
    </row>
    <row r="49" spans="1:2">
      <c r="A49" t="s">
        <v>49</v>
      </c>
      <c r="B49">
        <f>"+918956052859"</f>
        <v>0</v>
      </c>
    </row>
    <row r="50" spans="1:2">
      <c r="A50" t="s">
        <v>50</v>
      </c>
      <c r="B50">
        <f>"+918219069737"</f>
        <v>0</v>
      </c>
    </row>
    <row r="51" spans="1:2">
      <c r="A51" t="s">
        <v>51</v>
      </c>
      <c r="B51">
        <f>"+917865855818"</f>
        <v>0</v>
      </c>
    </row>
    <row r="52" spans="1:2">
      <c r="A52" t="s">
        <v>52</v>
      </c>
      <c r="B52">
        <f>"+919473361739"</f>
        <v>0</v>
      </c>
    </row>
    <row r="53" spans="1:2">
      <c r="A53" t="s">
        <v>53</v>
      </c>
      <c r="B53">
        <f>"+918291417510"</f>
        <v>0</v>
      </c>
    </row>
    <row r="54" spans="1:2">
      <c r="A54" t="s">
        <v>54</v>
      </c>
      <c r="B54">
        <f>"+919873923585"</f>
        <v>0</v>
      </c>
    </row>
    <row r="55" spans="1:2">
      <c r="A55" t="s">
        <v>55</v>
      </c>
      <c r="B55">
        <f>"+918840452576"</f>
        <v>0</v>
      </c>
    </row>
    <row r="56" spans="1:2">
      <c r="A56" t="s">
        <v>56</v>
      </c>
      <c r="B56">
        <f>"+918960365849"</f>
        <v>0</v>
      </c>
    </row>
    <row r="57" spans="1:2">
      <c r="A57" t="s">
        <v>57</v>
      </c>
      <c r="B57">
        <f>"+917498380318"</f>
        <v>0</v>
      </c>
    </row>
    <row r="58" spans="1:2">
      <c r="A58" t="s">
        <v>58</v>
      </c>
      <c r="B58">
        <f>"+918329525076"</f>
        <v>0</v>
      </c>
    </row>
    <row r="59" spans="1:2">
      <c r="A59" t="s">
        <v>59</v>
      </c>
      <c r="B59">
        <f>"+919949630445"</f>
        <v>0</v>
      </c>
    </row>
    <row r="60" spans="1:2">
      <c r="A60" t="s">
        <v>60</v>
      </c>
      <c r="B60">
        <f>"+917908341812"</f>
        <v>0</v>
      </c>
    </row>
    <row r="61" spans="1:2">
      <c r="A61" t="s">
        <v>61</v>
      </c>
      <c r="B61">
        <f>"+918999548065"</f>
        <v>0</v>
      </c>
    </row>
    <row r="62" spans="1:2">
      <c r="A62" t="s">
        <v>62</v>
      </c>
      <c r="B62">
        <f>"+93702072788"</f>
        <v>0</v>
      </c>
    </row>
    <row r="63" spans="1:2">
      <c r="A63" t="s">
        <v>63</v>
      </c>
      <c r="B63">
        <f>"+919792842260"</f>
        <v>0</v>
      </c>
    </row>
    <row r="64" spans="1:2">
      <c r="A64" t="s">
        <v>64</v>
      </c>
      <c r="B64">
        <f>"+8801780287994"</f>
        <v>0</v>
      </c>
    </row>
    <row r="65" spans="1:2">
      <c r="A65" t="s">
        <v>65</v>
      </c>
      <c r="B65">
        <f>"+919354504599"</f>
        <v>0</v>
      </c>
    </row>
    <row r="66" spans="1:2">
      <c r="A66" t="s">
        <v>66</v>
      </c>
      <c r="B66">
        <f>"+916374542972"</f>
        <v>0</v>
      </c>
    </row>
    <row r="67" spans="1:2">
      <c r="A67" t="s">
        <v>67</v>
      </c>
      <c r="B67">
        <f>"+919350780566"</f>
        <v>0</v>
      </c>
    </row>
    <row r="68" spans="1:2">
      <c r="A68" t="s">
        <v>68</v>
      </c>
      <c r="B68">
        <f>"+919343282254"</f>
        <v>0</v>
      </c>
    </row>
    <row r="69" spans="1:2">
      <c r="A69" t="s">
        <v>69</v>
      </c>
      <c r="B69">
        <f>"+919958995471"</f>
        <v>0</v>
      </c>
    </row>
    <row r="70" spans="1:2">
      <c r="A70" t="s">
        <v>70</v>
      </c>
      <c r="B70">
        <f>"+919647583109"</f>
        <v>0</v>
      </c>
    </row>
    <row r="71" spans="1:2">
      <c r="A71" t="s">
        <v>71</v>
      </c>
      <c r="B71">
        <f>"+917988311631"</f>
        <v>0</v>
      </c>
    </row>
    <row r="72" spans="1:2">
      <c r="A72" t="s">
        <v>72</v>
      </c>
      <c r="B72">
        <f>"+919729756098"</f>
        <v>0</v>
      </c>
    </row>
    <row r="73" spans="1:2">
      <c r="A73" t="s">
        <v>73</v>
      </c>
      <c r="B73">
        <f>"+918227848078"</f>
        <v>0</v>
      </c>
    </row>
    <row r="74" spans="1:2">
      <c r="A74" t="s">
        <v>74</v>
      </c>
      <c r="B74">
        <f>"+919650145762"</f>
        <v>0</v>
      </c>
    </row>
    <row r="75" spans="1:2">
      <c r="A75" t="s">
        <v>75</v>
      </c>
      <c r="B75">
        <f>"+15485102677"</f>
        <v>0</v>
      </c>
    </row>
    <row r="76" spans="1:2">
      <c r="A76" t="s">
        <v>76</v>
      </c>
      <c r="B76">
        <f>"+254795183358"</f>
        <v>0</v>
      </c>
    </row>
    <row r="77" spans="1:2">
      <c r="A77" t="s">
        <v>77</v>
      </c>
      <c r="B77">
        <f>"+918755397289"</f>
        <v>0</v>
      </c>
    </row>
    <row r="78" spans="1:2">
      <c r="A78" t="s">
        <v>78</v>
      </c>
      <c r="B78">
        <f>"+919470981520"</f>
        <v>0</v>
      </c>
    </row>
    <row r="79" spans="1:2">
      <c r="A79" t="s">
        <v>79</v>
      </c>
      <c r="B79">
        <f>"+233535358496"</f>
        <v>0</v>
      </c>
    </row>
    <row r="80" spans="1:2">
      <c r="A80" t="s">
        <v>80</v>
      </c>
      <c r="B80">
        <f>"+917877727660"</f>
        <v>0</v>
      </c>
    </row>
    <row r="81" spans="1:2">
      <c r="A81" t="s">
        <v>81</v>
      </c>
      <c r="B81">
        <f>"+916005451608"</f>
        <v>0</v>
      </c>
    </row>
    <row r="82" spans="1:2">
      <c r="A82" t="s">
        <v>82</v>
      </c>
      <c r="B82">
        <f>"+918920211624"</f>
        <v>0</v>
      </c>
    </row>
    <row r="83" spans="1:2">
      <c r="A83" t="s">
        <v>83</v>
      </c>
      <c r="B83">
        <f>"+918016541874"</f>
        <v>0</v>
      </c>
    </row>
    <row r="84" spans="1:2">
      <c r="A84" t="s">
        <v>84</v>
      </c>
      <c r="B84">
        <f>"+919781484603"</f>
        <v>0</v>
      </c>
    </row>
    <row r="85" spans="1:2">
      <c r="A85" t="s">
        <v>85</v>
      </c>
      <c r="B85">
        <f>"+918267917055"</f>
        <v>0</v>
      </c>
    </row>
    <row r="86" spans="1:2">
      <c r="A86" t="s">
        <v>86</v>
      </c>
      <c r="B86">
        <f>"+917377903913"</f>
        <v>0</v>
      </c>
    </row>
    <row r="87" spans="1:2">
      <c r="A87" t="s">
        <v>87</v>
      </c>
      <c r="B87">
        <f>"+918174900844"</f>
        <v>0</v>
      </c>
    </row>
    <row r="88" spans="1:2">
      <c r="A88" t="s">
        <v>88</v>
      </c>
      <c r="B88">
        <f>"+917678446544"</f>
        <v>0</v>
      </c>
    </row>
    <row r="89" spans="1:2">
      <c r="A89" t="s">
        <v>89</v>
      </c>
      <c r="B89">
        <f>"+967773653484"</f>
        <v>0</v>
      </c>
    </row>
    <row r="90" spans="1:2">
      <c r="A90" t="s">
        <v>90</v>
      </c>
      <c r="B90">
        <f>"+917569869303"</f>
        <v>0</v>
      </c>
    </row>
    <row r="91" spans="1:2">
      <c r="A91" t="s">
        <v>91</v>
      </c>
      <c r="B91">
        <f>"+919907074056"</f>
        <v>0</v>
      </c>
    </row>
    <row r="92" spans="1:2">
      <c r="A92" t="s">
        <v>92</v>
      </c>
      <c r="B92">
        <f>"+919354619939"</f>
        <v>0</v>
      </c>
    </row>
    <row r="93" spans="1:2">
      <c r="A93" t="s">
        <v>93</v>
      </c>
      <c r="B93">
        <f>"+918650431832"</f>
        <v>0</v>
      </c>
    </row>
    <row r="94" spans="1:2">
      <c r="A94" t="s">
        <v>94</v>
      </c>
      <c r="B94">
        <f>"+967775356061"</f>
        <v>0</v>
      </c>
    </row>
    <row r="95" spans="1:2">
      <c r="A95" t="s">
        <v>95</v>
      </c>
      <c r="B95">
        <f>"+6289510730434"</f>
        <v>0</v>
      </c>
    </row>
    <row r="96" spans="1:2">
      <c r="A96" t="s">
        <v>96</v>
      </c>
      <c r="B96">
        <f>"+916282063291"</f>
        <v>0</v>
      </c>
    </row>
    <row r="97" spans="1:2">
      <c r="A97" t="s">
        <v>97</v>
      </c>
      <c r="B97">
        <f>"+917644910631"</f>
        <v>0</v>
      </c>
    </row>
    <row r="98" spans="1:2">
      <c r="A98" t="s">
        <v>98</v>
      </c>
      <c r="B98">
        <f>"+918624086816"</f>
        <v>0</v>
      </c>
    </row>
    <row r="99" spans="1:2">
      <c r="A99" t="s">
        <v>99</v>
      </c>
      <c r="B99">
        <f>"+919031240501"</f>
        <v>0</v>
      </c>
    </row>
    <row r="100" spans="1:2">
      <c r="A100" t="s">
        <v>100</v>
      </c>
      <c r="B100">
        <f>"+916289536886"</f>
        <v>0</v>
      </c>
    </row>
    <row r="101" spans="1:2">
      <c r="A101" t="s">
        <v>101</v>
      </c>
      <c r="B101">
        <f>"+918073733616"</f>
        <v>0</v>
      </c>
    </row>
    <row r="102" spans="1:2">
      <c r="A102" t="s">
        <v>102</v>
      </c>
      <c r="B102">
        <f>"+919146870510"</f>
        <v>0</v>
      </c>
    </row>
    <row r="103" spans="1:2">
      <c r="A103" t="s">
        <v>103</v>
      </c>
      <c r="B103">
        <f>"+919581298491"</f>
        <v>0</v>
      </c>
    </row>
    <row r="104" spans="1:2">
      <c r="A104" t="s">
        <v>104</v>
      </c>
      <c r="B104">
        <f>"+233559679555"</f>
        <v>0</v>
      </c>
    </row>
    <row r="105" spans="1:2">
      <c r="A105" t="s">
        <v>105</v>
      </c>
      <c r="B105">
        <f>"+918982875256"</f>
        <v>0</v>
      </c>
    </row>
    <row r="106" spans="1:2">
      <c r="A106" t="s">
        <v>106</v>
      </c>
      <c r="B106">
        <f>"+967773443460"</f>
        <v>0</v>
      </c>
    </row>
    <row r="107" spans="1:2">
      <c r="A107" t="s">
        <v>107</v>
      </c>
      <c r="B107">
        <f>"+917979002822"</f>
        <v>0</v>
      </c>
    </row>
    <row r="108" spans="1:2">
      <c r="A108" t="s">
        <v>108</v>
      </c>
      <c r="B108">
        <f>"+917666783405"</f>
        <v>0</v>
      </c>
    </row>
    <row r="109" spans="1:2">
      <c r="A109" t="s">
        <v>109</v>
      </c>
      <c r="B109">
        <f>"+919698872125"</f>
        <v>0</v>
      </c>
    </row>
    <row r="110" spans="1:2">
      <c r="A110" t="s">
        <v>110</v>
      </c>
      <c r="B110">
        <f>"+918148358835"</f>
        <v>0</v>
      </c>
    </row>
    <row r="111" spans="1:2">
      <c r="A111" t="s">
        <v>111</v>
      </c>
      <c r="B111">
        <f>"+919001170838"</f>
        <v>0</v>
      </c>
    </row>
    <row r="112" spans="1:2">
      <c r="A112" t="s">
        <v>112</v>
      </c>
      <c r="B112">
        <f>"+919580185684"</f>
        <v>0</v>
      </c>
    </row>
    <row r="113" spans="1:2">
      <c r="A113" t="s">
        <v>113</v>
      </c>
      <c r="B113">
        <f>"+919593570458"</f>
        <v>0</v>
      </c>
    </row>
    <row r="114" spans="1:2">
      <c r="A114" t="s">
        <v>114</v>
      </c>
      <c r="B114">
        <f>"+917607874301"</f>
        <v>0</v>
      </c>
    </row>
    <row r="115" spans="1:2">
      <c r="A115" t="s">
        <v>115</v>
      </c>
      <c r="B115">
        <f>"+916374740715"</f>
        <v>0</v>
      </c>
    </row>
    <row r="116" spans="1:2">
      <c r="A116" t="s">
        <v>116</v>
      </c>
      <c r="B116">
        <f>"+919363986419"</f>
        <v>0</v>
      </c>
    </row>
    <row r="117" spans="1:2">
      <c r="A117" t="s">
        <v>117</v>
      </c>
      <c r="B117">
        <f>"+917498165465"</f>
        <v>0</v>
      </c>
    </row>
    <row r="118" spans="1:2">
      <c r="A118" t="s">
        <v>118</v>
      </c>
      <c r="B118">
        <f>"+919453991472"</f>
        <v>0</v>
      </c>
    </row>
    <row r="119" spans="1:2">
      <c r="A119" t="s">
        <v>119</v>
      </c>
      <c r="B119">
        <f>"+917696410370"</f>
        <v>0</v>
      </c>
    </row>
    <row r="120" spans="1:2">
      <c r="A120" t="s">
        <v>120</v>
      </c>
      <c r="B120">
        <f>"+919024979676"</f>
        <v>0</v>
      </c>
    </row>
    <row r="121" spans="1:2">
      <c r="A121" t="s">
        <v>121</v>
      </c>
      <c r="B121">
        <f>"+918002134282"</f>
        <v>0</v>
      </c>
    </row>
    <row r="122" spans="1:2">
      <c r="A122" t="s">
        <v>122</v>
      </c>
      <c r="B122">
        <f>"+919263535306"</f>
        <v>0</v>
      </c>
    </row>
    <row r="123" spans="1:2">
      <c r="A123" t="s">
        <v>123</v>
      </c>
      <c r="B123">
        <f>"+919153920729"</f>
        <v>0</v>
      </c>
    </row>
    <row r="124" spans="1:2">
      <c r="A124" t="s">
        <v>124</v>
      </c>
      <c r="B124">
        <f>"+919265937916"</f>
        <v>0</v>
      </c>
    </row>
    <row r="125" spans="1:2">
      <c r="A125" t="s">
        <v>125</v>
      </c>
      <c r="B125">
        <f>"+917375840993"</f>
        <v>0</v>
      </c>
    </row>
    <row r="126" spans="1:2">
      <c r="A126" t="s">
        <v>126</v>
      </c>
      <c r="B126">
        <f>"+2349150807924"</f>
        <v>0</v>
      </c>
    </row>
    <row r="127" spans="1:2">
      <c r="A127" t="s">
        <v>127</v>
      </c>
      <c r="B127">
        <f>"+918826238118"</f>
        <v>0</v>
      </c>
    </row>
    <row r="128" spans="1:2">
      <c r="A128" t="s">
        <v>128</v>
      </c>
      <c r="B128">
        <f>"+919677096669"</f>
        <v>0</v>
      </c>
    </row>
    <row r="129" spans="1:2">
      <c r="A129" t="s">
        <v>129</v>
      </c>
      <c r="B129">
        <f>"+919038167000"</f>
        <v>0</v>
      </c>
    </row>
    <row r="130" spans="1:2">
      <c r="A130" t="s">
        <v>130</v>
      </c>
      <c r="B130">
        <f>"+93731543841"</f>
        <v>0</v>
      </c>
    </row>
    <row r="131" spans="1:2">
      <c r="A131" t="s">
        <v>131</v>
      </c>
      <c r="B131">
        <f>"+93745565606"</f>
        <v>0</v>
      </c>
    </row>
    <row r="132" spans="1:2">
      <c r="A132" t="s">
        <v>132</v>
      </c>
      <c r="B132">
        <f>"+918888130977"</f>
        <v>0</v>
      </c>
    </row>
    <row r="133" spans="1:2">
      <c r="A133" t="s">
        <v>133</v>
      </c>
      <c r="B133">
        <f>"+919549215301"</f>
        <v>0</v>
      </c>
    </row>
    <row r="134" spans="1:2">
      <c r="A134" t="s">
        <v>134</v>
      </c>
      <c r="B134">
        <f>"+917091914531"</f>
        <v>0</v>
      </c>
    </row>
    <row r="135" spans="1:2">
      <c r="A135" t="s">
        <v>135</v>
      </c>
      <c r="B135">
        <f>"+917294130491"</f>
        <v>0</v>
      </c>
    </row>
    <row r="136" spans="1:2">
      <c r="A136" t="s">
        <v>136</v>
      </c>
      <c r="B136">
        <f>"+919110865189"</f>
        <v>0</v>
      </c>
    </row>
    <row r="137" spans="1:2">
      <c r="A137" t="s">
        <v>137</v>
      </c>
      <c r="B137">
        <f>"+919433353891"</f>
        <v>0</v>
      </c>
    </row>
    <row r="138" spans="1:2">
      <c r="A138" t="s">
        <v>138</v>
      </c>
      <c r="B138">
        <f>"+919421210032"</f>
        <v>0</v>
      </c>
    </row>
    <row r="139" spans="1:2">
      <c r="A139" t="s">
        <v>139</v>
      </c>
      <c r="B139">
        <f>"+917396830998"</f>
        <v>0</v>
      </c>
    </row>
    <row r="140" spans="1:2">
      <c r="A140" t="s">
        <v>140</v>
      </c>
      <c r="B140">
        <f>"+254794617242"</f>
        <v>0</v>
      </c>
    </row>
    <row r="141" spans="1:2">
      <c r="A141" t="s">
        <v>141</v>
      </c>
      <c r="B141">
        <f>"+918902788045"</f>
        <v>0</v>
      </c>
    </row>
    <row r="142" spans="1:2">
      <c r="A142" t="s">
        <v>142</v>
      </c>
      <c r="B142">
        <f>"+919956362290"</f>
        <v>0</v>
      </c>
    </row>
    <row r="143" spans="1:2">
      <c r="A143" t="s">
        <v>143</v>
      </c>
      <c r="B143">
        <f>"+919723546322"</f>
        <v>0</v>
      </c>
    </row>
    <row r="144" spans="1:2">
      <c r="A144" t="s">
        <v>144</v>
      </c>
      <c r="B144">
        <f>"+917994348850"</f>
        <v>0</v>
      </c>
    </row>
    <row r="145" spans="1:2">
      <c r="A145" t="s">
        <v>145</v>
      </c>
      <c r="B145">
        <f>"+917506324761"</f>
        <v>0</v>
      </c>
    </row>
    <row r="146" spans="1:2">
      <c r="A146" t="s">
        <v>146</v>
      </c>
      <c r="B146">
        <f>"+918257817448"</f>
        <v>0</v>
      </c>
    </row>
    <row r="147" spans="1:2">
      <c r="A147" t="s">
        <v>147</v>
      </c>
      <c r="B147">
        <f>"+916200667861"</f>
        <v>0</v>
      </c>
    </row>
    <row r="148" spans="1:2">
      <c r="A148" t="s">
        <v>148</v>
      </c>
      <c r="B148">
        <f>"+919877776550"</f>
        <v>0</v>
      </c>
    </row>
    <row r="149" spans="1:2">
      <c r="A149" t="s">
        <v>149</v>
      </c>
      <c r="B149">
        <f>"+918460821310"</f>
        <v>0</v>
      </c>
    </row>
    <row r="150" spans="1:2">
      <c r="A150" t="s">
        <v>150</v>
      </c>
      <c r="B150">
        <f>"+919076501870"</f>
        <v>0</v>
      </c>
    </row>
    <row r="151" spans="1:2">
      <c r="A151" t="s">
        <v>151</v>
      </c>
      <c r="B151">
        <f>"+919257276931"</f>
        <v>0</v>
      </c>
    </row>
    <row r="152" spans="1:2">
      <c r="A152" t="s">
        <v>152</v>
      </c>
      <c r="B152">
        <f>"+918658181722"</f>
        <v>0</v>
      </c>
    </row>
    <row r="153" spans="1:2">
      <c r="A153" t="s">
        <v>153</v>
      </c>
      <c r="B153">
        <f>"+919613280281"</f>
        <v>0</v>
      </c>
    </row>
    <row r="154" spans="1:2">
      <c r="A154" t="s">
        <v>154</v>
      </c>
      <c r="B154">
        <f>"+12146051778"</f>
        <v>0</v>
      </c>
    </row>
    <row r="155" spans="1:2">
      <c r="A155" t="s">
        <v>155</v>
      </c>
      <c r="B155">
        <f>"+917639721163"</f>
        <v>0</v>
      </c>
    </row>
    <row r="156" spans="1:2">
      <c r="A156" t="s">
        <v>156</v>
      </c>
      <c r="B156">
        <f>"+93705432881"</f>
        <v>0</v>
      </c>
    </row>
    <row r="157" spans="1:2">
      <c r="A157" t="s">
        <v>157</v>
      </c>
      <c r="B157">
        <f>"+917488959647"</f>
        <v>0</v>
      </c>
    </row>
    <row r="158" spans="1:2">
      <c r="A158" t="s">
        <v>158</v>
      </c>
      <c r="B158">
        <f>"+919766936776"</f>
        <v>0</v>
      </c>
    </row>
    <row r="159" spans="1:2">
      <c r="A159" t="s">
        <v>159</v>
      </c>
      <c r="B159">
        <f>"+918094777372"</f>
        <v>0</v>
      </c>
    </row>
    <row r="160" spans="1:2">
      <c r="A160" t="s">
        <v>160</v>
      </c>
      <c r="B160">
        <f>"+93789354632"</f>
        <v>0</v>
      </c>
    </row>
    <row r="161" spans="1:2">
      <c r="A161" t="s">
        <v>161</v>
      </c>
      <c r="B161">
        <f>"+919439113943"</f>
        <v>0</v>
      </c>
    </row>
    <row r="162" spans="1:2">
      <c r="A162" t="s">
        <v>162</v>
      </c>
      <c r="B162">
        <f>"+919302641417"</f>
        <v>0</v>
      </c>
    </row>
    <row r="163" spans="1:2">
      <c r="A163" t="s">
        <v>163</v>
      </c>
      <c r="B163">
        <f>"+918837685835"</f>
        <v>0</v>
      </c>
    </row>
    <row r="164" spans="1:2">
      <c r="A164" t="s">
        <v>164</v>
      </c>
      <c r="B164">
        <f>"+919050038430"</f>
        <v>0</v>
      </c>
    </row>
    <row r="165" spans="1:2">
      <c r="A165" t="s">
        <v>165</v>
      </c>
      <c r="B165">
        <f>"+233536876829"</f>
        <v>0</v>
      </c>
    </row>
    <row r="166" spans="1:2">
      <c r="A166" t="s">
        <v>166</v>
      </c>
      <c r="B166">
        <f>"+918273939726"</f>
        <v>0</v>
      </c>
    </row>
    <row r="167" spans="1:2">
      <c r="A167" t="s">
        <v>167</v>
      </c>
      <c r="B167">
        <f>"+917002299105"</f>
        <v>0</v>
      </c>
    </row>
    <row r="168" spans="1:2">
      <c r="A168" t="s">
        <v>168</v>
      </c>
      <c r="B168">
        <f>"+919900623039"</f>
        <v>0</v>
      </c>
    </row>
    <row r="169" spans="1:2">
      <c r="A169" t="s">
        <v>169</v>
      </c>
      <c r="B169">
        <f>"+919041872217"</f>
        <v>0</v>
      </c>
    </row>
    <row r="170" spans="1:2">
      <c r="A170" t="s">
        <v>170</v>
      </c>
      <c r="B170">
        <f>"+243980237355"</f>
        <v>0</v>
      </c>
    </row>
    <row r="171" spans="1:2">
      <c r="A171" t="s">
        <v>171</v>
      </c>
      <c r="B171">
        <f>"+917095538230"</f>
        <v>0</v>
      </c>
    </row>
    <row r="172" spans="1:2">
      <c r="A172" t="s">
        <v>172</v>
      </c>
      <c r="B172">
        <f>"+919424755205"</f>
        <v>0</v>
      </c>
    </row>
    <row r="173" spans="1:2">
      <c r="A173" t="s">
        <v>173</v>
      </c>
      <c r="B173">
        <f>"+917741981209"</f>
        <v>0</v>
      </c>
    </row>
    <row r="174" spans="1:2">
      <c r="A174" t="s">
        <v>174</v>
      </c>
      <c r="B174">
        <f>"+919372820453"</f>
        <v>0</v>
      </c>
    </row>
    <row r="175" spans="1:2">
      <c r="A175" t="s">
        <v>175</v>
      </c>
      <c r="B175">
        <f>"+919608241280"</f>
        <v>0</v>
      </c>
    </row>
    <row r="176" spans="1:2">
      <c r="A176" t="s">
        <v>176</v>
      </c>
      <c r="B176">
        <f>"+919150557842"</f>
        <v>0</v>
      </c>
    </row>
    <row r="177" spans="1:2">
      <c r="A177" t="s">
        <v>177</v>
      </c>
      <c r="B177">
        <f>"+918708324263"</f>
        <v>0</v>
      </c>
    </row>
    <row r="178" spans="1:2">
      <c r="A178" t="s">
        <v>178</v>
      </c>
      <c r="B178">
        <f>"+918121404962"</f>
        <v>0</v>
      </c>
    </row>
    <row r="179" spans="1:2">
      <c r="A179" t="s">
        <v>179</v>
      </c>
      <c r="B179">
        <f>"+918920281731"</f>
        <v>0</v>
      </c>
    </row>
    <row r="180" spans="1:2">
      <c r="A180" t="s">
        <v>180</v>
      </c>
      <c r="B180">
        <f>"+918077873651"</f>
        <v>0</v>
      </c>
    </row>
    <row r="181" spans="1:2">
      <c r="A181" t="s">
        <v>181</v>
      </c>
      <c r="B181">
        <f>"+918528289632"</f>
        <v>0</v>
      </c>
    </row>
    <row r="182" spans="1:2">
      <c r="A182" t="s">
        <v>182</v>
      </c>
      <c r="B182">
        <f>"+919995608341"</f>
        <v>0</v>
      </c>
    </row>
    <row r="183" spans="1:2">
      <c r="A183" t="s">
        <v>183</v>
      </c>
      <c r="B183">
        <f>"+917871716071"</f>
        <v>0</v>
      </c>
    </row>
    <row r="184" spans="1:2">
      <c r="A184" t="s">
        <v>184</v>
      </c>
      <c r="B184">
        <f>"+919911112874"</f>
        <v>0</v>
      </c>
    </row>
    <row r="185" spans="1:2">
      <c r="A185" t="s">
        <v>185</v>
      </c>
      <c r="B185">
        <f>"+919326884558"</f>
        <v>0</v>
      </c>
    </row>
    <row r="186" spans="1:2">
      <c r="A186" t="s">
        <v>186</v>
      </c>
      <c r="B186">
        <f>"+917321058791"</f>
        <v>0</v>
      </c>
    </row>
    <row r="187" spans="1:2">
      <c r="A187" t="s">
        <v>187</v>
      </c>
      <c r="B187">
        <f>"+919471847735"</f>
        <v>0</v>
      </c>
    </row>
    <row r="188" spans="1:2">
      <c r="A188" t="s">
        <v>188</v>
      </c>
      <c r="B188">
        <f>"+917999627759"</f>
        <v>0</v>
      </c>
    </row>
    <row r="189" spans="1:2">
      <c r="A189" t="s">
        <v>189</v>
      </c>
      <c r="B189">
        <f>"+916392089823"</f>
        <v>0</v>
      </c>
    </row>
    <row r="190" spans="1:2">
      <c r="A190" t="s">
        <v>190</v>
      </c>
      <c r="B190">
        <f>"+917009297284"</f>
        <v>0</v>
      </c>
    </row>
    <row r="191" spans="1:2">
      <c r="A191" t="s">
        <v>191</v>
      </c>
      <c r="B191">
        <f>"+917739544070"</f>
        <v>0</v>
      </c>
    </row>
    <row r="192" spans="1:2">
      <c r="A192" t="s">
        <v>192</v>
      </c>
      <c r="B192">
        <f>"+919874215549"</f>
        <v>0</v>
      </c>
    </row>
    <row r="193" spans="1:2">
      <c r="A193" t="s">
        <v>193</v>
      </c>
      <c r="B193">
        <f>"+919234682772"</f>
        <v>0</v>
      </c>
    </row>
    <row r="194" spans="1:2">
      <c r="A194" t="s">
        <v>194</v>
      </c>
      <c r="B194">
        <f>"+918709234538"</f>
        <v>0</v>
      </c>
    </row>
    <row r="195" spans="1:2">
      <c r="A195" t="s">
        <v>195</v>
      </c>
      <c r="B195">
        <f>"+917821984918"</f>
        <v>0</v>
      </c>
    </row>
    <row r="196" spans="1:2">
      <c r="A196" t="s">
        <v>196</v>
      </c>
      <c r="B196">
        <f>"+916392137577"</f>
        <v>0</v>
      </c>
    </row>
    <row r="197" spans="1:2">
      <c r="A197" t="s">
        <v>197</v>
      </c>
      <c r="B197">
        <f>"+919081349311"</f>
        <v>0</v>
      </c>
    </row>
    <row r="198" spans="1:2">
      <c r="A198" t="s">
        <v>198</v>
      </c>
      <c r="B198">
        <f>"+919846910047"</f>
        <v>0</v>
      </c>
    </row>
    <row r="199" spans="1:2">
      <c r="A199" t="s">
        <v>199</v>
      </c>
      <c r="B199">
        <f>"+919233520455"</f>
        <v>0</v>
      </c>
    </row>
    <row r="200" spans="1:2">
      <c r="A200" t="s">
        <v>200</v>
      </c>
      <c r="B200">
        <f>"+917827171615"</f>
        <v>0</v>
      </c>
    </row>
    <row r="201" spans="1:2">
      <c r="A201" t="s">
        <v>201</v>
      </c>
      <c r="B201">
        <f>"+916284251951"</f>
        <v>0</v>
      </c>
    </row>
    <row r="202" spans="1:2">
      <c r="A202" t="s">
        <v>202</v>
      </c>
      <c r="B202">
        <f>"+917906673880"</f>
        <v>0</v>
      </c>
    </row>
    <row r="203" spans="1:2">
      <c r="A203" t="s">
        <v>203</v>
      </c>
      <c r="B203">
        <f>"+919015239212"</f>
        <v>0</v>
      </c>
    </row>
    <row r="204" spans="1:2">
      <c r="A204" t="s">
        <v>204</v>
      </c>
      <c r="B204">
        <f>"+919091094375"</f>
        <v>0</v>
      </c>
    </row>
    <row r="205" spans="1:2">
      <c r="A205" t="s">
        <v>205</v>
      </c>
      <c r="B205">
        <f>"+254783040345"</f>
        <v>0</v>
      </c>
    </row>
    <row r="206" spans="1:2">
      <c r="A206" t="s">
        <v>206</v>
      </c>
      <c r="B206">
        <f>"+918264813936"</f>
        <v>0</v>
      </c>
    </row>
    <row r="207" spans="1:2">
      <c r="A207" t="s">
        <v>207</v>
      </c>
      <c r="B207">
        <f>"+919743423016"</f>
        <v>0</v>
      </c>
    </row>
    <row r="208" spans="1:2">
      <c r="A208" t="s">
        <v>208</v>
      </c>
      <c r="B208">
        <f>"+919548561809"</f>
        <v>0</v>
      </c>
    </row>
    <row r="209" spans="1:2">
      <c r="A209" t="s">
        <v>209</v>
      </c>
      <c r="B209">
        <f>"+919430727071"</f>
        <v>0</v>
      </c>
    </row>
    <row r="210" spans="1:2">
      <c r="A210" t="s">
        <v>210</v>
      </c>
      <c r="B210">
        <f>"+917734087431"</f>
        <v>0</v>
      </c>
    </row>
    <row r="211" spans="1:2">
      <c r="A211" t="s">
        <v>211</v>
      </c>
      <c r="B211">
        <f>"+919110268212"</f>
        <v>0</v>
      </c>
    </row>
    <row r="212" spans="1:2">
      <c r="A212" t="s">
        <v>212</v>
      </c>
      <c r="B212">
        <f>"+917551056159"</f>
        <v>0</v>
      </c>
    </row>
    <row r="213" spans="1:2">
      <c r="A213" t="s">
        <v>213</v>
      </c>
      <c r="B213">
        <f>"+967772930307"</f>
        <v>0</v>
      </c>
    </row>
    <row r="214" spans="1:2">
      <c r="A214" t="s">
        <v>214</v>
      </c>
      <c r="B214">
        <f>"+919105286992"</f>
        <v>0</v>
      </c>
    </row>
    <row r="215" spans="1:2">
      <c r="A215" t="s">
        <v>215</v>
      </c>
      <c r="B215">
        <f>"+918468865597"</f>
        <v>0</v>
      </c>
    </row>
    <row r="216" spans="1:2">
      <c r="A216" t="s">
        <v>216</v>
      </c>
      <c r="B216">
        <f>"+919599579683"</f>
        <v>0</v>
      </c>
    </row>
    <row r="217" spans="1:2">
      <c r="A217" t="s">
        <v>217</v>
      </c>
      <c r="B217">
        <f>"+918847488034"</f>
        <v>0</v>
      </c>
    </row>
    <row r="218" spans="1:2">
      <c r="A218" t="s">
        <v>218</v>
      </c>
      <c r="B218">
        <f>"+917275251741"</f>
        <v>0</v>
      </c>
    </row>
    <row r="219" spans="1:2">
      <c r="A219" t="s">
        <v>219</v>
      </c>
      <c r="B219">
        <f>"+919823061931"</f>
        <v>0</v>
      </c>
    </row>
    <row r="220" spans="1:2">
      <c r="A220" t="s">
        <v>220</v>
      </c>
      <c r="B220">
        <f>"+233559131744"</f>
        <v>0</v>
      </c>
    </row>
    <row r="221" spans="1:2">
      <c r="A221" t="s">
        <v>221</v>
      </c>
      <c r="B221">
        <f>"+916382103170"</f>
        <v>0</v>
      </c>
    </row>
    <row r="222" spans="1:2">
      <c r="A222" t="s">
        <v>222</v>
      </c>
      <c r="B222">
        <f>"+919307572252"</f>
        <v>0</v>
      </c>
    </row>
    <row r="223" spans="1:2">
      <c r="A223" t="s">
        <v>223</v>
      </c>
      <c r="B223">
        <f>"+923703708179"</f>
        <v>0</v>
      </c>
    </row>
    <row r="224" spans="1:2">
      <c r="A224" t="s">
        <v>224</v>
      </c>
      <c r="B224">
        <f>"+918825197145"</f>
        <v>0</v>
      </c>
    </row>
    <row r="225" spans="1:2">
      <c r="A225" t="s">
        <v>225</v>
      </c>
      <c r="B225">
        <f>"+919646650314"</f>
        <v>0</v>
      </c>
    </row>
    <row r="226" spans="1:2">
      <c r="A226" t="s">
        <v>226</v>
      </c>
      <c r="B226">
        <f>"+918103556005"</f>
        <v>0</v>
      </c>
    </row>
    <row r="227" spans="1:2">
      <c r="A227" t="s">
        <v>227</v>
      </c>
      <c r="B227">
        <f>"+917800031559"</f>
        <v>0</v>
      </c>
    </row>
    <row r="228" spans="1:2">
      <c r="A228" t="s">
        <v>228</v>
      </c>
      <c r="B228">
        <f>"+917430989859"</f>
        <v>0</v>
      </c>
    </row>
    <row r="229" spans="1:2">
      <c r="A229" t="s">
        <v>229</v>
      </c>
      <c r="B229">
        <f>"+919555828042"</f>
        <v>0</v>
      </c>
    </row>
    <row r="230" spans="1:2">
      <c r="A230" t="s">
        <v>230</v>
      </c>
      <c r="B230">
        <f>"+919905012854"</f>
        <v>0</v>
      </c>
    </row>
    <row r="231" spans="1:2">
      <c r="A231" t="s">
        <v>231</v>
      </c>
      <c r="B231">
        <f>"+2347081413681"</f>
        <v>0</v>
      </c>
    </row>
    <row r="232" spans="1:2">
      <c r="A232" t="s">
        <v>232</v>
      </c>
      <c r="B232">
        <f>"+919564052892"</f>
        <v>0</v>
      </c>
    </row>
    <row r="233" spans="1:2">
      <c r="A233" t="s">
        <v>233</v>
      </c>
      <c r="B233">
        <f>"+917805070538"</f>
        <v>0</v>
      </c>
    </row>
    <row r="234" spans="1:2">
      <c r="A234" t="s">
        <v>234</v>
      </c>
      <c r="B234">
        <f>"+918595661712"</f>
        <v>0</v>
      </c>
    </row>
    <row r="235" spans="1:2">
      <c r="A235" t="s">
        <v>235</v>
      </c>
      <c r="B235">
        <f>"+919723901521"</f>
        <v>0</v>
      </c>
    </row>
    <row r="236" spans="1:2">
      <c r="A236" t="s">
        <v>236</v>
      </c>
      <c r="B236">
        <f>"+918156924429"</f>
        <v>0</v>
      </c>
    </row>
    <row r="237" spans="1:2">
      <c r="A237" t="s">
        <v>237</v>
      </c>
      <c r="B237">
        <f>"+918530661932"</f>
        <v>0</v>
      </c>
    </row>
    <row r="238" spans="1:2">
      <c r="A238" t="s">
        <v>238</v>
      </c>
      <c r="B238">
        <f>"+919322480437"</f>
        <v>0</v>
      </c>
    </row>
    <row r="239" spans="1:2">
      <c r="A239" t="s">
        <v>239</v>
      </c>
      <c r="B239">
        <f>"+584163232268"</f>
        <v>0</v>
      </c>
    </row>
    <row r="240" spans="1:2">
      <c r="A240" t="s">
        <v>240</v>
      </c>
      <c r="B240">
        <f>"+916381857537"</f>
        <v>0</v>
      </c>
    </row>
    <row r="241" spans="1:2">
      <c r="A241" t="s">
        <v>241</v>
      </c>
      <c r="B241">
        <f>"+917057379415"</f>
        <v>0</v>
      </c>
    </row>
    <row r="242" spans="1:2">
      <c r="A242" t="s">
        <v>242</v>
      </c>
      <c r="B242">
        <f>"+917464845220"</f>
        <v>0</v>
      </c>
    </row>
    <row r="243" spans="1:2">
      <c r="A243" t="s">
        <v>243</v>
      </c>
      <c r="B243">
        <f>"+919511548654"</f>
        <v>0</v>
      </c>
    </row>
    <row r="244" spans="1:2">
      <c r="A244" t="s">
        <v>244</v>
      </c>
      <c r="B244">
        <f>"+916376717966"</f>
        <v>0</v>
      </c>
    </row>
    <row r="245" spans="1:2">
      <c r="A245" t="s">
        <v>245</v>
      </c>
      <c r="B245">
        <f>"+918287789429"</f>
        <v>0</v>
      </c>
    </row>
    <row r="246" spans="1:2">
      <c r="A246" t="s">
        <v>246</v>
      </c>
      <c r="B246">
        <f>"+918590324488"</f>
        <v>0</v>
      </c>
    </row>
    <row r="247" spans="1:2">
      <c r="A247" t="s">
        <v>247</v>
      </c>
      <c r="B247">
        <f>"+917817882614"</f>
        <v>0</v>
      </c>
    </row>
    <row r="248" spans="1:2">
      <c r="A248" t="s">
        <v>248</v>
      </c>
      <c r="B248">
        <f>"+917978179493"</f>
        <v>0</v>
      </c>
    </row>
    <row r="249" spans="1:2">
      <c r="A249" t="s">
        <v>249</v>
      </c>
      <c r="B249">
        <f>"+918374645103"</f>
        <v>0</v>
      </c>
    </row>
    <row r="250" spans="1:2">
      <c r="A250" t="s">
        <v>250</v>
      </c>
      <c r="B250">
        <f>"+919046825556"</f>
        <v>0</v>
      </c>
    </row>
    <row r="251" spans="1:2">
      <c r="A251" t="s">
        <v>251</v>
      </c>
      <c r="B251">
        <f>"+967774324035"</f>
        <v>0</v>
      </c>
    </row>
    <row r="252" spans="1:2">
      <c r="A252" t="s">
        <v>252</v>
      </c>
      <c r="B252">
        <f>"+919389244903"</f>
        <v>0</v>
      </c>
    </row>
    <row r="253" spans="1:2">
      <c r="A253" t="s">
        <v>253</v>
      </c>
      <c r="B253">
        <f>"+919005058847"</f>
        <v>0</v>
      </c>
    </row>
    <row r="254" spans="1:2">
      <c r="A254" t="s">
        <v>254</v>
      </c>
      <c r="B254">
        <f>"+233556370093"</f>
        <v>0</v>
      </c>
    </row>
    <row r="255" spans="1:2">
      <c r="A255" t="s">
        <v>255</v>
      </c>
      <c r="B255">
        <f>"+919207634459"</f>
        <v>0</v>
      </c>
    </row>
    <row r="256" spans="1:2">
      <c r="A256" t="s">
        <v>256</v>
      </c>
      <c r="B256">
        <f>"+918470995947"</f>
        <v>0</v>
      </c>
    </row>
    <row r="257" spans="1:2">
      <c r="A257" t="s">
        <v>257</v>
      </c>
      <c r="B257">
        <f>"+967774937679"</f>
        <v>0</v>
      </c>
    </row>
    <row r="258" spans="1:2">
      <c r="A258" t="s">
        <v>258</v>
      </c>
      <c r="B258">
        <f>"+919015121334"</f>
        <v>0</v>
      </c>
    </row>
    <row r="259" spans="1:2">
      <c r="A259" t="s">
        <v>259</v>
      </c>
      <c r="B259">
        <f>"+918529805060"</f>
        <v>0</v>
      </c>
    </row>
    <row r="260" spans="1:2">
      <c r="A260" t="s">
        <v>260</v>
      </c>
      <c r="B260">
        <f>"+917083994534"</f>
        <v>0</v>
      </c>
    </row>
    <row r="261" spans="1:2">
      <c r="A261" t="s">
        <v>261</v>
      </c>
      <c r="B261">
        <f>"+917498749357"</f>
        <v>0</v>
      </c>
    </row>
    <row r="262" spans="1:2">
      <c r="A262" t="s">
        <v>262</v>
      </c>
      <c r="B262">
        <f>"+918910968028"</f>
        <v>0</v>
      </c>
    </row>
    <row r="263" spans="1:2">
      <c r="A263" t="s">
        <v>263</v>
      </c>
      <c r="B263">
        <f>"+919990021555"</f>
        <v>0</v>
      </c>
    </row>
    <row r="264" spans="1:2">
      <c r="A264" t="s">
        <v>264</v>
      </c>
      <c r="B264">
        <f>"+919538538314"</f>
        <v>0</v>
      </c>
    </row>
    <row r="265" spans="1:2">
      <c r="A265" t="s">
        <v>265</v>
      </c>
      <c r="B265">
        <f>"+918146382673"</f>
        <v>0</v>
      </c>
    </row>
    <row r="266" spans="1:2">
      <c r="A266" t="s">
        <v>266</v>
      </c>
      <c r="B266">
        <f>"+93773242186"</f>
        <v>0</v>
      </c>
    </row>
    <row r="267" spans="1:2">
      <c r="A267" t="s">
        <v>267</v>
      </c>
      <c r="B267">
        <f>"+919005909879"</f>
        <v>0</v>
      </c>
    </row>
    <row r="268" spans="1:2">
      <c r="A268" t="s">
        <v>268</v>
      </c>
      <c r="B268">
        <f>"+919890513728"</f>
        <v>0</v>
      </c>
    </row>
    <row r="269" spans="1:2">
      <c r="A269" t="s">
        <v>269</v>
      </c>
      <c r="B269">
        <f>"+971524907221"</f>
        <v>0</v>
      </c>
    </row>
    <row r="270" spans="1:2">
      <c r="A270" t="s">
        <v>270</v>
      </c>
      <c r="B270">
        <f>"+254736887547"</f>
        <v>0</v>
      </c>
    </row>
    <row r="271" spans="1:2">
      <c r="A271" t="s">
        <v>271</v>
      </c>
      <c r="B271">
        <f>"+919579199694"</f>
        <v>0</v>
      </c>
    </row>
    <row r="272" spans="1:2">
      <c r="A272" t="s">
        <v>272</v>
      </c>
      <c r="B272">
        <f>"+917024729872"</f>
        <v>0</v>
      </c>
    </row>
    <row r="273" spans="1:2">
      <c r="A273" t="s">
        <v>273</v>
      </c>
      <c r="B273">
        <f>"+918590535407"</f>
        <v>0</v>
      </c>
    </row>
    <row r="274" spans="1:2">
      <c r="A274" t="s">
        <v>274</v>
      </c>
      <c r="B274">
        <f>"+917676219364"</f>
        <v>0</v>
      </c>
    </row>
    <row r="275" spans="1:2">
      <c r="A275" t="s">
        <v>275</v>
      </c>
      <c r="B275">
        <f>"+919092479191"</f>
        <v>0</v>
      </c>
    </row>
    <row r="276" spans="1:2">
      <c r="A276" t="s">
        <v>276</v>
      </c>
      <c r="B276">
        <f>"+989217674589"</f>
        <v>0</v>
      </c>
    </row>
    <row r="277" spans="1:2">
      <c r="A277" t="s">
        <v>277</v>
      </c>
      <c r="B277">
        <f>"+967772493425"</f>
        <v>0</v>
      </c>
    </row>
    <row r="278" spans="1:2">
      <c r="A278" t="s">
        <v>278</v>
      </c>
      <c r="B278">
        <f>"+919205262025"</f>
        <v>0</v>
      </c>
    </row>
    <row r="279" spans="1:2">
      <c r="A279" t="s">
        <v>279</v>
      </c>
      <c r="B279">
        <f>"+916205504149"</f>
        <v>0</v>
      </c>
    </row>
    <row r="280" spans="1:2">
      <c r="A280" t="s">
        <v>280</v>
      </c>
      <c r="B280">
        <f>"+919772153393"</f>
        <v>0</v>
      </c>
    </row>
    <row r="281" spans="1:2">
      <c r="A281" t="s">
        <v>281</v>
      </c>
      <c r="B281">
        <f>"+917377030697"</f>
        <v>0</v>
      </c>
    </row>
    <row r="282" spans="1:2">
      <c r="A282" t="s">
        <v>282</v>
      </c>
      <c r="B282">
        <f>"+917037193712"</f>
        <v>0</v>
      </c>
    </row>
    <row r="283" spans="1:2">
      <c r="A283" t="s">
        <v>283</v>
      </c>
      <c r="B283">
        <f>"+254783006437"</f>
        <v>0</v>
      </c>
    </row>
    <row r="284" spans="1:2">
      <c r="A284" t="s">
        <v>284</v>
      </c>
      <c r="B284">
        <f>"+919518435936"</f>
        <v>0</v>
      </c>
    </row>
    <row r="285" spans="1:2">
      <c r="A285" t="s">
        <v>285</v>
      </c>
      <c r="B285">
        <f>"+919895228374"</f>
        <v>0</v>
      </c>
    </row>
    <row r="286" spans="1:2">
      <c r="A286" t="s">
        <v>286</v>
      </c>
      <c r="B286">
        <f>"+917499100554"</f>
        <v>0</v>
      </c>
    </row>
    <row r="287" spans="1:2">
      <c r="A287" t="s">
        <v>287</v>
      </c>
      <c r="B287">
        <f>"+66963181375"</f>
        <v>0</v>
      </c>
    </row>
    <row r="288" spans="1:2">
      <c r="A288" t="s">
        <v>288</v>
      </c>
      <c r="B288">
        <f>"+918398822127"</f>
        <v>0</v>
      </c>
    </row>
    <row r="289" spans="1:2">
      <c r="A289" t="s">
        <v>289</v>
      </c>
      <c r="B289">
        <f>"+917371065195"</f>
        <v>0</v>
      </c>
    </row>
    <row r="290" spans="1:2">
      <c r="A290" t="s">
        <v>290</v>
      </c>
      <c r="B290">
        <f>"+233553928052"</f>
        <v>0</v>
      </c>
    </row>
    <row r="291" spans="1:2">
      <c r="A291" t="s">
        <v>291</v>
      </c>
      <c r="B291">
        <f>"+917483631428"</f>
        <v>0</v>
      </c>
    </row>
    <row r="292" spans="1:2">
      <c r="A292" t="s">
        <v>292</v>
      </c>
      <c r="B292">
        <f>"+918252693079"</f>
        <v>0</v>
      </c>
    </row>
    <row r="293" spans="1:2">
      <c r="A293" t="s">
        <v>293</v>
      </c>
      <c r="B293">
        <f>"+916377919244"</f>
        <v>0</v>
      </c>
    </row>
    <row r="294" spans="1:2">
      <c r="A294" t="s">
        <v>294</v>
      </c>
      <c r="B294">
        <f>"+919422935518"</f>
        <v>0</v>
      </c>
    </row>
    <row r="295" spans="1:2">
      <c r="A295" t="s">
        <v>295</v>
      </c>
      <c r="B295">
        <f>"+919109807366"</f>
        <v>0</v>
      </c>
    </row>
    <row r="296" spans="1:2">
      <c r="A296" t="s">
        <v>296</v>
      </c>
      <c r="B296">
        <f>"+918788913863"</f>
        <v>0</v>
      </c>
    </row>
    <row r="297" spans="1:2">
      <c r="A297" t="s">
        <v>297</v>
      </c>
      <c r="B297">
        <f>"+916200768518"</f>
        <v>0</v>
      </c>
    </row>
    <row r="298" spans="1:2">
      <c r="A298" t="s">
        <v>298</v>
      </c>
      <c r="B298">
        <f>"+93707221883"</f>
        <v>0</v>
      </c>
    </row>
    <row r="299" spans="1:2">
      <c r="A299" t="s">
        <v>299</v>
      </c>
      <c r="B299">
        <f>"+923161059039"</f>
        <v>0</v>
      </c>
    </row>
    <row r="300" spans="1:2">
      <c r="A300" t="s">
        <v>300</v>
      </c>
      <c r="B300">
        <f>"+60104239051"</f>
        <v>0</v>
      </c>
    </row>
    <row r="301" spans="1:2">
      <c r="A301" t="s">
        <v>301</v>
      </c>
      <c r="B301">
        <f>"+919389227499"</f>
        <v>0</v>
      </c>
    </row>
    <row r="302" spans="1:2">
      <c r="A302" t="s">
        <v>302</v>
      </c>
      <c r="B302">
        <f>"+918208617204"</f>
        <v>0</v>
      </c>
    </row>
    <row r="303" spans="1:2">
      <c r="A303" t="s">
        <v>303</v>
      </c>
      <c r="B303">
        <f>"+919755276720"</f>
        <v>0</v>
      </c>
    </row>
    <row r="304" spans="1:2">
      <c r="A304" t="s">
        <v>304</v>
      </c>
      <c r="B304">
        <f>"+919227184492"</f>
        <v>0</v>
      </c>
    </row>
    <row r="305" spans="1:2">
      <c r="A305" t="s">
        <v>305</v>
      </c>
      <c r="B305">
        <f>"+919033361617"</f>
        <v>0</v>
      </c>
    </row>
    <row r="306" spans="1:2">
      <c r="A306" t="s">
        <v>306</v>
      </c>
      <c r="B306">
        <f>"+918595991880"</f>
        <v>0</v>
      </c>
    </row>
    <row r="307" spans="1:2">
      <c r="A307" t="s">
        <v>307</v>
      </c>
      <c r="B307">
        <f>"+919466080707"</f>
        <v>0</v>
      </c>
    </row>
    <row r="308" spans="1:2">
      <c r="A308" t="s">
        <v>308</v>
      </c>
      <c r="B308">
        <f>"+919567828734"</f>
        <v>0</v>
      </c>
    </row>
    <row r="309" spans="1:2">
      <c r="A309" t="s">
        <v>309</v>
      </c>
      <c r="B309">
        <f>"+917744980469"</f>
        <v>0</v>
      </c>
    </row>
    <row r="310" spans="1:2">
      <c r="A310" t="s">
        <v>310</v>
      </c>
      <c r="B310">
        <f>"+918471066817"</f>
        <v>0</v>
      </c>
    </row>
    <row r="311" spans="1:2">
      <c r="A311" t="s">
        <v>311</v>
      </c>
      <c r="B311">
        <f>"+917041522881"</f>
        <v>0</v>
      </c>
    </row>
    <row r="312" spans="1:2">
      <c r="A312" t="s">
        <v>312</v>
      </c>
      <c r="B312">
        <f>"+918209222056"</f>
        <v>0</v>
      </c>
    </row>
    <row r="313" spans="1:2">
      <c r="A313" t="s">
        <v>313</v>
      </c>
      <c r="B313">
        <f>"+918729904741"</f>
        <v>0</v>
      </c>
    </row>
    <row r="314" spans="1:2">
      <c r="A314" t="s">
        <v>314</v>
      </c>
      <c r="B314">
        <f>"+917470901729"</f>
        <v>0</v>
      </c>
    </row>
    <row r="315" spans="1:2">
      <c r="A315" t="s">
        <v>315</v>
      </c>
      <c r="B315">
        <f>"+919548791717"</f>
        <v>0</v>
      </c>
    </row>
    <row r="316" spans="1:2">
      <c r="A316" t="s">
        <v>316</v>
      </c>
      <c r="B316">
        <f>"+917465813569"</f>
        <v>0</v>
      </c>
    </row>
    <row r="317" spans="1:2">
      <c r="A317" t="s">
        <v>317</v>
      </c>
      <c r="B317">
        <f>"+916263117080"</f>
        <v>0</v>
      </c>
    </row>
    <row r="318" spans="1:2">
      <c r="A318" t="s">
        <v>318</v>
      </c>
      <c r="B318">
        <f>"+923319100754"</f>
        <v>0</v>
      </c>
    </row>
    <row r="319" spans="1:2">
      <c r="A319" t="s">
        <v>319</v>
      </c>
      <c r="B319">
        <f>"+93766475362"</f>
        <v>0</v>
      </c>
    </row>
    <row r="320" spans="1:2">
      <c r="A320" t="s">
        <v>320</v>
      </c>
      <c r="B320">
        <f>"+919770976983"</f>
        <v>0</v>
      </c>
    </row>
    <row r="321" spans="1:2">
      <c r="A321" t="s">
        <v>321</v>
      </c>
      <c r="B321">
        <f>"+918840734291"</f>
        <v>0</v>
      </c>
    </row>
    <row r="322" spans="1:2">
      <c r="A322" t="s">
        <v>322</v>
      </c>
      <c r="B322">
        <f>"+919391383281"</f>
        <v>0</v>
      </c>
    </row>
    <row r="323" spans="1:2">
      <c r="A323" t="s">
        <v>323</v>
      </c>
      <c r="B323">
        <f>"+918840379633"</f>
        <v>0</v>
      </c>
    </row>
    <row r="324" spans="1:2">
      <c r="A324" t="s">
        <v>324</v>
      </c>
      <c r="B324">
        <f>"+917068889884"</f>
        <v>0</v>
      </c>
    </row>
    <row r="325" spans="1:2">
      <c r="A325" t="s">
        <v>325</v>
      </c>
      <c r="B325">
        <f>"+917873333923"</f>
        <v>0</v>
      </c>
    </row>
    <row r="326" spans="1:2">
      <c r="A326" t="s">
        <v>326</v>
      </c>
      <c r="B326">
        <f>"+919457407325"</f>
        <v>0</v>
      </c>
    </row>
    <row r="327" spans="1:2">
      <c r="A327" t="s">
        <v>327</v>
      </c>
      <c r="B327">
        <f>"+918219697761"</f>
        <v>0</v>
      </c>
    </row>
    <row r="328" spans="1:2">
      <c r="A328" t="s">
        <v>328</v>
      </c>
      <c r="B328">
        <f>"+919301084259"</f>
        <v>0</v>
      </c>
    </row>
    <row r="329" spans="1:2">
      <c r="A329" t="s">
        <v>329</v>
      </c>
      <c r="B329">
        <f>"+919888487237"</f>
        <v>0</v>
      </c>
    </row>
    <row r="330" spans="1:2">
      <c r="A330" t="s">
        <v>330</v>
      </c>
      <c r="B330">
        <f>"+919673119545"</f>
        <v>0</v>
      </c>
    </row>
    <row r="331" spans="1:2">
      <c r="A331" t="s">
        <v>331</v>
      </c>
      <c r="B331">
        <f>"+254746830542"</f>
        <v>0</v>
      </c>
    </row>
    <row r="332" spans="1:2">
      <c r="A332" t="s">
        <v>332</v>
      </c>
      <c r="B332">
        <f>"+918509382256"</f>
        <v>0</v>
      </c>
    </row>
    <row r="333" spans="1:2">
      <c r="A333" t="s">
        <v>333</v>
      </c>
      <c r="B333">
        <f>"+919492994850"</f>
        <v>0</v>
      </c>
    </row>
    <row r="334" spans="1:2">
      <c r="A334" t="s">
        <v>334</v>
      </c>
      <c r="B334">
        <f>"+918951803760"</f>
        <v>0</v>
      </c>
    </row>
    <row r="335" spans="1:2">
      <c r="A335" t="s">
        <v>335</v>
      </c>
      <c r="B335">
        <f>"+971551859035"</f>
        <v>0</v>
      </c>
    </row>
    <row r="336" spans="1:2">
      <c r="A336" t="s">
        <v>336</v>
      </c>
      <c r="B336">
        <f>"+917036170562"</f>
        <v>0</v>
      </c>
    </row>
    <row r="337" spans="1:2">
      <c r="A337" t="s">
        <v>337</v>
      </c>
      <c r="B337">
        <f>"+917015307525"</f>
        <v>0</v>
      </c>
    </row>
    <row r="338" spans="1:2">
      <c r="A338" t="s">
        <v>338</v>
      </c>
      <c r="B338">
        <f>"+918379927148"</f>
        <v>0</v>
      </c>
    </row>
    <row r="339" spans="1:2">
      <c r="A339" t="s">
        <v>339</v>
      </c>
      <c r="B339">
        <f>"+919896594225"</f>
        <v>0</v>
      </c>
    </row>
    <row r="340" spans="1:2">
      <c r="A340" t="s">
        <v>340</v>
      </c>
      <c r="B340">
        <f>"+917972022179"</f>
        <v>0</v>
      </c>
    </row>
    <row r="341" spans="1:2">
      <c r="A341" t="s">
        <v>341</v>
      </c>
      <c r="B341">
        <f>"+917060962148"</f>
        <v>0</v>
      </c>
    </row>
    <row r="342" spans="1:2">
      <c r="A342" t="s">
        <v>342</v>
      </c>
      <c r="B342">
        <f>"+918318825707"</f>
        <v>0</v>
      </c>
    </row>
    <row r="343" spans="1:2">
      <c r="A343" t="s">
        <v>343</v>
      </c>
      <c r="B343">
        <f>"+919949152973"</f>
        <v>0</v>
      </c>
    </row>
    <row r="344" spans="1:2">
      <c r="A344" t="s">
        <v>344</v>
      </c>
      <c r="B344">
        <f>"+917355641687"</f>
        <v>0</v>
      </c>
    </row>
    <row r="345" spans="1:2">
      <c r="A345" t="s">
        <v>345</v>
      </c>
      <c r="B345">
        <f>"+919012963967"</f>
        <v>0</v>
      </c>
    </row>
    <row r="346" spans="1:2">
      <c r="A346" t="s">
        <v>346</v>
      </c>
      <c r="B346">
        <f>"+917061067545"</f>
        <v>0</v>
      </c>
    </row>
    <row r="347" spans="1:2">
      <c r="A347" t="s">
        <v>347</v>
      </c>
      <c r="B347">
        <f>"+917654031747"</f>
        <v>0</v>
      </c>
    </row>
    <row r="348" spans="1:2">
      <c r="A348" t="s">
        <v>348</v>
      </c>
      <c r="B348">
        <f>"+918279658488"</f>
        <v>0</v>
      </c>
    </row>
    <row r="349" spans="1:2">
      <c r="A349" t="s">
        <v>349</v>
      </c>
      <c r="B349">
        <f>"+919611340674"</f>
        <v>0</v>
      </c>
    </row>
    <row r="350" spans="1:2">
      <c r="A350" t="s">
        <v>350</v>
      </c>
      <c r="B350">
        <f>"+233279999991"</f>
        <v>0</v>
      </c>
    </row>
    <row r="351" spans="1:2">
      <c r="A351" t="s">
        <v>351</v>
      </c>
      <c r="B351">
        <f>"+916362054858"</f>
        <v>0</v>
      </c>
    </row>
    <row r="352" spans="1:2">
      <c r="A352" t="s">
        <v>352</v>
      </c>
      <c r="B352">
        <f>"+917069145999"</f>
        <v>0</v>
      </c>
    </row>
    <row r="353" spans="1:2">
      <c r="A353" t="s">
        <v>353</v>
      </c>
      <c r="B353">
        <f>"+919139565646"</f>
        <v>0</v>
      </c>
    </row>
    <row r="354" spans="1:2">
      <c r="A354" t="s">
        <v>354</v>
      </c>
      <c r="B354">
        <f>"+916200754135"</f>
        <v>0</v>
      </c>
    </row>
    <row r="355" spans="1:2">
      <c r="A355" t="s">
        <v>355</v>
      </c>
      <c r="B355">
        <f>"+917879739117"</f>
        <v>0</v>
      </c>
    </row>
    <row r="356" spans="1:2">
      <c r="A356" t="s">
        <v>356</v>
      </c>
      <c r="B356">
        <f>"+251941952482"</f>
        <v>0</v>
      </c>
    </row>
    <row r="357" spans="1:2">
      <c r="A357" t="s">
        <v>357</v>
      </c>
      <c r="B357">
        <f>"+918004588330"</f>
        <v>0</v>
      </c>
    </row>
    <row r="358" spans="1:2">
      <c r="A358" t="s">
        <v>358</v>
      </c>
      <c r="B358">
        <f>"+917548912973"</f>
        <v>0</v>
      </c>
    </row>
    <row r="359" spans="1:2">
      <c r="A359" t="s">
        <v>359</v>
      </c>
      <c r="B359">
        <f>"+93773785569"</f>
        <v>0</v>
      </c>
    </row>
    <row r="360" spans="1:2">
      <c r="A360" t="s">
        <v>360</v>
      </c>
      <c r="B360">
        <f>"+917046735288"</f>
        <v>0</v>
      </c>
    </row>
    <row r="361" spans="1:2">
      <c r="A361" t="s">
        <v>361</v>
      </c>
      <c r="B361">
        <f>"+917082579972"</f>
        <v>0</v>
      </c>
    </row>
    <row r="362" spans="1:2">
      <c r="A362" t="s">
        <v>362</v>
      </c>
      <c r="B362">
        <f>"+917381177424"</f>
        <v>0</v>
      </c>
    </row>
    <row r="363" spans="1:2">
      <c r="A363" t="s">
        <v>363</v>
      </c>
      <c r="B363">
        <f>"+96181451498"</f>
        <v>0</v>
      </c>
    </row>
    <row r="364" spans="1:2">
      <c r="A364" t="s">
        <v>364</v>
      </c>
      <c r="B364">
        <f>"+919469402078"</f>
        <v>0</v>
      </c>
    </row>
    <row r="365" spans="1:2">
      <c r="A365" t="s">
        <v>365</v>
      </c>
      <c r="B365">
        <f>"+917411407871"</f>
        <v>0</v>
      </c>
    </row>
    <row r="366" spans="1:2">
      <c r="A366" t="s">
        <v>366</v>
      </c>
      <c r="B366">
        <f>"+916369219877"</f>
        <v>0</v>
      </c>
    </row>
    <row r="367" spans="1:2">
      <c r="A367" t="s">
        <v>367</v>
      </c>
      <c r="B367">
        <f>"+916263050470"</f>
        <v>0</v>
      </c>
    </row>
    <row r="368" spans="1:2">
      <c r="A368" t="s">
        <v>368</v>
      </c>
      <c r="B368">
        <f>"+918142665276"</f>
        <v>0</v>
      </c>
    </row>
    <row r="369" spans="1:2">
      <c r="A369" t="s">
        <v>369</v>
      </c>
      <c r="B369">
        <f>"+967779779280"</f>
        <v>0</v>
      </c>
    </row>
    <row r="370" spans="1:2">
      <c r="A370" t="s">
        <v>370</v>
      </c>
      <c r="B370">
        <f>"+919661723774"</f>
        <v>0</v>
      </c>
    </row>
    <row r="371" spans="1:2">
      <c r="A371" t="s">
        <v>371</v>
      </c>
      <c r="B371">
        <f>"+918208681625"</f>
        <v>0</v>
      </c>
    </row>
    <row r="372" spans="1:2">
      <c r="A372" t="s">
        <v>372</v>
      </c>
      <c r="B372">
        <f>"+916290182876"</f>
        <v>0</v>
      </c>
    </row>
    <row r="373" spans="1:2">
      <c r="A373" t="s">
        <v>373</v>
      </c>
      <c r="B373">
        <f>"+918808191815"</f>
        <v>0</v>
      </c>
    </row>
    <row r="374" spans="1:2">
      <c r="A374" t="s">
        <v>374</v>
      </c>
      <c r="B374">
        <f>"+584260282033"</f>
        <v>0</v>
      </c>
    </row>
    <row r="375" spans="1:2">
      <c r="A375" t="s">
        <v>375</v>
      </c>
      <c r="B375">
        <f>"+917411729978"</f>
        <v>0</v>
      </c>
    </row>
    <row r="376" spans="1:2">
      <c r="A376" t="s">
        <v>376</v>
      </c>
      <c r="B376">
        <f>"+918302131720"</f>
        <v>0</v>
      </c>
    </row>
    <row r="377" spans="1:2">
      <c r="A377" t="s">
        <v>377</v>
      </c>
      <c r="B377">
        <f>"+917250627917"</f>
        <v>0</v>
      </c>
    </row>
    <row r="378" spans="1:2">
      <c r="A378" t="s">
        <v>378</v>
      </c>
      <c r="B378">
        <f>"+919234807252"</f>
        <v>0</v>
      </c>
    </row>
    <row r="379" spans="1:2">
      <c r="A379" t="s">
        <v>379</v>
      </c>
      <c r="B379">
        <f>"+919064813661"</f>
        <v>0</v>
      </c>
    </row>
    <row r="380" spans="1:2">
      <c r="A380" t="s">
        <v>380</v>
      </c>
      <c r="B380">
        <f>"+917735411835"</f>
        <v>0</v>
      </c>
    </row>
    <row r="381" spans="1:2">
      <c r="A381" t="s">
        <v>381</v>
      </c>
      <c r="B381">
        <f>"+919015285981"</f>
        <v>0</v>
      </c>
    </row>
    <row r="382" spans="1:2">
      <c r="A382" t="s">
        <v>382</v>
      </c>
      <c r="B382">
        <f>"+201118327863"</f>
        <v>0</v>
      </c>
    </row>
    <row r="383" spans="1:2">
      <c r="A383" t="s">
        <v>383</v>
      </c>
      <c r="B383">
        <f>"+919834593465"</f>
        <v>0</v>
      </c>
    </row>
    <row r="384" spans="1:2">
      <c r="A384" t="s">
        <v>384</v>
      </c>
      <c r="B384">
        <f>"+919041667058"</f>
        <v>0</v>
      </c>
    </row>
    <row r="385" spans="1:2">
      <c r="A385" t="s">
        <v>385</v>
      </c>
      <c r="B385">
        <f>"+917378454897"</f>
        <v>0</v>
      </c>
    </row>
    <row r="386" spans="1:2">
      <c r="A386" t="s">
        <v>386</v>
      </c>
      <c r="B386">
        <f>"+989370733716"</f>
        <v>0</v>
      </c>
    </row>
    <row r="387" spans="1:2">
      <c r="A387" t="s">
        <v>387</v>
      </c>
      <c r="B387">
        <f>"+918397000834"</f>
        <v>0</v>
      </c>
    </row>
    <row r="388" spans="1:2">
      <c r="A388" t="s">
        <v>388</v>
      </c>
      <c r="B388">
        <f>"+918160095822"</f>
        <v>0</v>
      </c>
    </row>
    <row r="389" spans="1:2">
      <c r="A389" t="s">
        <v>389</v>
      </c>
      <c r="B389">
        <f>"+2348164640060"</f>
        <v>0</v>
      </c>
    </row>
    <row r="390" spans="1:2">
      <c r="A390" t="s">
        <v>390</v>
      </c>
      <c r="B390">
        <f>"+919652952336"</f>
        <v>0</v>
      </c>
    </row>
    <row r="391" spans="1:2">
      <c r="A391" t="s">
        <v>391</v>
      </c>
      <c r="B391">
        <f>"+916377936497"</f>
        <v>0</v>
      </c>
    </row>
    <row r="392" spans="1:2">
      <c r="A392" t="s">
        <v>392</v>
      </c>
      <c r="B392">
        <f>"+919674882472"</f>
        <v>0</v>
      </c>
    </row>
    <row r="393" spans="1:2">
      <c r="A393" t="s">
        <v>393</v>
      </c>
      <c r="B393">
        <f>"+917668685375"</f>
        <v>0</v>
      </c>
    </row>
    <row r="394" spans="1:2">
      <c r="A394" t="s">
        <v>394</v>
      </c>
      <c r="B394">
        <f>"+919142791653"</f>
        <v>0</v>
      </c>
    </row>
    <row r="395" spans="1:2">
      <c r="A395" t="s">
        <v>395</v>
      </c>
      <c r="B395">
        <f>"+917405514501"</f>
        <v>0</v>
      </c>
    </row>
    <row r="396" spans="1:2">
      <c r="A396" t="s">
        <v>396</v>
      </c>
      <c r="B396">
        <f>"+919235446645"</f>
        <v>0</v>
      </c>
    </row>
    <row r="397" spans="1:2">
      <c r="A397" t="s">
        <v>397</v>
      </c>
      <c r="B397">
        <f>"+919837478094"</f>
        <v>0</v>
      </c>
    </row>
    <row r="398" spans="1:2">
      <c r="A398" t="s">
        <v>398</v>
      </c>
      <c r="B398">
        <f>"+919082580821"</f>
        <v>0</v>
      </c>
    </row>
    <row r="399" spans="1:2">
      <c r="A399" t="s">
        <v>399</v>
      </c>
      <c r="B399">
        <f>"+919771940048"</f>
        <v>0</v>
      </c>
    </row>
    <row r="400" spans="1:2">
      <c r="A400" t="s">
        <v>400</v>
      </c>
      <c r="B400">
        <f>"+919576420270"</f>
        <v>0</v>
      </c>
    </row>
    <row r="401" spans="1:2">
      <c r="A401" t="s">
        <v>401</v>
      </c>
      <c r="B401">
        <f>"+918006376513"</f>
        <v>0</v>
      </c>
    </row>
    <row r="402" spans="1:2">
      <c r="A402" t="s">
        <v>402</v>
      </c>
      <c r="B402">
        <f>"+916375789628"</f>
        <v>0</v>
      </c>
    </row>
    <row r="403" spans="1:2">
      <c r="A403" t="s">
        <v>403</v>
      </c>
      <c r="B403">
        <f>"+917975550258"</f>
        <v>0</v>
      </c>
    </row>
    <row r="404" spans="1:2">
      <c r="A404" t="s">
        <v>404</v>
      </c>
      <c r="B404">
        <f>"+919971010024"</f>
        <v>0</v>
      </c>
    </row>
    <row r="405" spans="1:2">
      <c r="A405" t="s">
        <v>405</v>
      </c>
      <c r="B405">
        <f>"+919784392170"</f>
        <v>0</v>
      </c>
    </row>
    <row r="406" spans="1:2">
      <c r="A406" t="s">
        <v>406</v>
      </c>
      <c r="B406">
        <f>"+919984161708"</f>
        <v>0</v>
      </c>
    </row>
    <row r="407" spans="1:2">
      <c r="A407" t="s">
        <v>407</v>
      </c>
      <c r="B407">
        <f>"+918543835345"</f>
        <v>0</v>
      </c>
    </row>
    <row r="408" spans="1:2">
      <c r="A408" t="s">
        <v>408</v>
      </c>
      <c r="B408">
        <f>"+917983236866"</f>
        <v>0</v>
      </c>
    </row>
    <row r="409" spans="1:2">
      <c r="A409" t="s">
        <v>409</v>
      </c>
      <c r="B409">
        <f>"+918427320519"</f>
        <v>0</v>
      </c>
    </row>
    <row r="410" spans="1:2">
      <c r="A410" t="s">
        <v>410</v>
      </c>
      <c r="B410">
        <f>"+918921261305"</f>
        <v>0</v>
      </c>
    </row>
    <row r="411" spans="1:2">
      <c r="A411" t="s">
        <v>411</v>
      </c>
      <c r="B411">
        <f>"+918853379808"</f>
        <v>0</v>
      </c>
    </row>
    <row r="412" spans="1:2">
      <c r="A412" t="s">
        <v>412</v>
      </c>
      <c r="B412">
        <f>"+233205642984"</f>
        <v>0</v>
      </c>
    </row>
    <row r="413" spans="1:2">
      <c r="A413" t="s">
        <v>413</v>
      </c>
      <c r="B413">
        <f>"+918934913144"</f>
        <v>0</v>
      </c>
    </row>
    <row r="414" spans="1:2">
      <c r="A414" t="s">
        <v>414</v>
      </c>
      <c r="B414">
        <f>"+918860954056"</f>
        <v>0</v>
      </c>
    </row>
    <row r="415" spans="1:2">
      <c r="A415" t="s">
        <v>415</v>
      </c>
      <c r="B415">
        <f>"+919306353678"</f>
        <v>0</v>
      </c>
    </row>
    <row r="416" spans="1:2">
      <c r="A416" t="s">
        <v>416</v>
      </c>
      <c r="B416">
        <f>"+918435208995"</f>
        <v>0</v>
      </c>
    </row>
    <row r="417" spans="1:2">
      <c r="A417" t="s">
        <v>417</v>
      </c>
      <c r="B417">
        <f>"+93784982491"</f>
        <v>0</v>
      </c>
    </row>
    <row r="418" spans="1:2">
      <c r="A418" t="s">
        <v>418</v>
      </c>
      <c r="B418">
        <f>"+917855830889"</f>
        <v>0</v>
      </c>
    </row>
    <row r="419" spans="1:2">
      <c r="A419" t="s">
        <v>419</v>
      </c>
      <c r="B419">
        <f>"+639272939177"</f>
        <v>0</v>
      </c>
    </row>
    <row r="420" spans="1:2">
      <c r="A420" t="s">
        <v>420</v>
      </c>
      <c r="B420">
        <f>"+918435889396"</f>
        <v>0</v>
      </c>
    </row>
    <row r="421" spans="1:2">
      <c r="A421" t="s">
        <v>421</v>
      </c>
      <c r="B421">
        <f>"+918279031283"</f>
        <v>0</v>
      </c>
    </row>
    <row r="422" spans="1:2">
      <c r="A422" t="s">
        <v>422</v>
      </c>
      <c r="B422">
        <f>"+917742429593"</f>
        <v>0</v>
      </c>
    </row>
    <row r="423" spans="1:2">
      <c r="A423" t="s">
        <v>423</v>
      </c>
      <c r="B423">
        <f>"+917060299915"</f>
        <v>0</v>
      </c>
    </row>
    <row r="424" spans="1:2">
      <c r="A424" t="s">
        <v>424</v>
      </c>
      <c r="B424">
        <f>"+919337123121"</f>
        <v>0</v>
      </c>
    </row>
    <row r="425" spans="1:2">
      <c r="A425" t="s">
        <v>425</v>
      </c>
      <c r="B425">
        <f>"+919947428797"</f>
        <v>0</v>
      </c>
    </row>
    <row r="426" spans="1:2">
      <c r="A426" t="s">
        <v>426</v>
      </c>
      <c r="B426">
        <f>"+919573558036"</f>
        <v>0</v>
      </c>
    </row>
    <row r="427" spans="1:2">
      <c r="A427" t="s">
        <v>427</v>
      </c>
      <c r="B427">
        <f>"+918859527251"</f>
        <v>0</v>
      </c>
    </row>
    <row r="428" spans="1:2">
      <c r="A428" t="s">
        <v>428</v>
      </c>
      <c r="B428">
        <f>"+918790989261"</f>
        <v>0</v>
      </c>
    </row>
    <row r="429" spans="1:2">
      <c r="A429" t="s">
        <v>429</v>
      </c>
      <c r="B429">
        <f>"+919548119740"</f>
        <v>0</v>
      </c>
    </row>
    <row r="430" spans="1:2">
      <c r="A430" t="s">
        <v>430</v>
      </c>
      <c r="B430">
        <f>"+918955370523"</f>
        <v>0</v>
      </c>
    </row>
    <row r="431" spans="1:2">
      <c r="A431" t="s">
        <v>431</v>
      </c>
      <c r="B431">
        <f>"+919986918618"</f>
        <v>0</v>
      </c>
    </row>
    <row r="432" spans="1:2">
      <c r="A432" t="s">
        <v>432</v>
      </c>
      <c r="B432">
        <f>"+917073547965"</f>
        <v>0</v>
      </c>
    </row>
    <row r="433" spans="1:2">
      <c r="A433" t="s">
        <v>433</v>
      </c>
      <c r="B433">
        <f>"+919651625216"</f>
        <v>0</v>
      </c>
    </row>
    <row r="434" spans="1:2">
      <c r="A434" t="s">
        <v>434</v>
      </c>
      <c r="B434">
        <f>"+917575041075"</f>
        <v>0</v>
      </c>
    </row>
    <row r="435" spans="1:2">
      <c r="A435" t="s">
        <v>435</v>
      </c>
      <c r="B435">
        <f>"+917699759627"</f>
        <v>0</v>
      </c>
    </row>
    <row r="436" spans="1:2">
      <c r="A436" t="s">
        <v>436</v>
      </c>
      <c r="B436">
        <f>"+916263397357"</f>
        <v>0</v>
      </c>
    </row>
    <row r="437" spans="1:2">
      <c r="A437" t="s">
        <v>437</v>
      </c>
      <c r="B437">
        <f>"+919399678055"</f>
        <v>0</v>
      </c>
    </row>
    <row r="438" spans="1:2">
      <c r="A438" t="s">
        <v>438</v>
      </c>
      <c r="B438">
        <f>"+919483981820"</f>
        <v>0</v>
      </c>
    </row>
    <row r="439" spans="1:2">
      <c r="A439" t="s">
        <v>439</v>
      </c>
      <c r="B439">
        <f>"+918921363833"</f>
        <v>0</v>
      </c>
    </row>
    <row r="440" spans="1:2">
      <c r="A440" t="s">
        <v>440</v>
      </c>
      <c r="B440">
        <f>"+918667048106"</f>
        <v>0</v>
      </c>
    </row>
    <row r="441" spans="1:2">
      <c r="A441" t="s">
        <v>441</v>
      </c>
      <c r="B441">
        <f>"+918823850769"</f>
        <v>0</v>
      </c>
    </row>
    <row r="442" spans="1:2">
      <c r="A442" t="s">
        <v>442</v>
      </c>
      <c r="B442">
        <f>"+919871626874"</f>
        <v>0</v>
      </c>
    </row>
    <row r="443" spans="1:2">
      <c r="A443" t="s">
        <v>443</v>
      </c>
      <c r="B443">
        <f>"+917828613263"</f>
        <v>0</v>
      </c>
    </row>
    <row r="444" spans="1:2">
      <c r="A444" t="s">
        <v>444</v>
      </c>
      <c r="B444">
        <f>"+6289522545877"</f>
        <v>0</v>
      </c>
    </row>
    <row r="445" spans="1:2">
      <c r="A445" t="s">
        <v>445</v>
      </c>
      <c r="B445">
        <f>"+919199163958"</f>
        <v>0</v>
      </c>
    </row>
    <row r="446" spans="1:2">
      <c r="A446" t="s">
        <v>446</v>
      </c>
      <c r="B446">
        <f>"+918921814191"</f>
        <v>0</v>
      </c>
    </row>
    <row r="447" spans="1:2">
      <c r="A447" t="s">
        <v>447</v>
      </c>
      <c r="B447">
        <f>"+918292351751"</f>
        <v>0</v>
      </c>
    </row>
    <row r="448" spans="1:2">
      <c r="A448" t="s">
        <v>448</v>
      </c>
      <c r="B448">
        <f>"+918208680074"</f>
        <v>0</v>
      </c>
    </row>
    <row r="449" spans="1:2">
      <c r="A449" t="s">
        <v>449</v>
      </c>
      <c r="B449">
        <f>"+918956424892"</f>
        <v>0</v>
      </c>
    </row>
    <row r="450" spans="1:2">
      <c r="A450" t="s">
        <v>450</v>
      </c>
      <c r="B450">
        <f>"+919078850117"</f>
        <v>0</v>
      </c>
    </row>
    <row r="451" spans="1:2">
      <c r="A451" t="s">
        <v>451</v>
      </c>
      <c r="B451">
        <f>"+917003245361"</f>
        <v>0</v>
      </c>
    </row>
    <row r="452" spans="1:2">
      <c r="A452" t="s">
        <v>452</v>
      </c>
      <c r="B452">
        <f>"+917355631411"</f>
        <v>0</v>
      </c>
    </row>
    <row r="453" spans="1:2">
      <c r="A453" t="s">
        <v>453</v>
      </c>
      <c r="B453">
        <f>"+93783656592"</f>
        <v>0</v>
      </c>
    </row>
    <row r="454" spans="1:2">
      <c r="A454" t="s">
        <v>454</v>
      </c>
      <c r="B454">
        <f>"+919359688903"</f>
        <v>0</v>
      </c>
    </row>
    <row r="455" spans="1:2">
      <c r="A455" t="s">
        <v>455</v>
      </c>
      <c r="B455">
        <f>"+917704052175"</f>
        <v>0</v>
      </c>
    </row>
    <row r="456" spans="1:2">
      <c r="A456" t="s">
        <v>456</v>
      </c>
      <c r="B456">
        <f>"+918340350801"</f>
        <v>0</v>
      </c>
    </row>
    <row r="457" spans="1:2">
      <c r="A457" t="s">
        <v>457</v>
      </c>
      <c r="B457">
        <f>"+919350046044"</f>
        <v>0</v>
      </c>
    </row>
    <row r="458" spans="1:2">
      <c r="A458" t="s">
        <v>458</v>
      </c>
      <c r="B458">
        <f>"+918262861845"</f>
        <v>0</v>
      </c>
    </row>
    <row r="459" spans="1:2">
      <c r="A459" t="s">
        <v>459</v>
      </c>
      <c r="B459">
        <f>"+918177814448"</f>
        <v>0</v>
      </c>
    </row>
    <row r="460" spans="1:2">
      <c r="A460" t="s">
        <v>460</v>
      </c>
      <c r="B460">
        <f>"+254113269465"</f>
        <v>0</v>
      </c>
    </row>
    <row r="461" spans="1:2">
      <c r="A461" t="s">
        <v>461</v>
      </c>
      <c r="B461">
        <f>"+919239697155"</f>
        <v>0</v>
      </c>
    </row>
    <row r="462" spans="1:2">
      <c r="A462" t="s">
        <v>462</v>
      </c>
      <c r="B462">
        <f>"+918319468578"</f>
        <v>0</v>
      </c>
    </row>
    <row r="463" spans="1:2">
      <c r="A463" t="s">
        <v>463</v>
      </c>
      <c r="B463">
        <f>"+919764254630"</f>
        <v>0</v>
      </c>
    </row>
    <row r="464" spans="1:2">
      <c r="A464" t="s">
        <v>464</v>
      </c>
      <c r="B464">
        <f>"+918894499759"</f>
        <v>0</v>
      </c>
    </row>
    <row r="465" spans="1:2">
      <c r="A465" t="s">
        <v>465</v>
      </c>
      <c r="B465">
        <f>"+919941993474"</f>
        <v>0</v>
      </c>
    </row>
    <row r="466" spans="1:2">
      <c r="A466" t="s">
        <v>466</v>
      </c>
      <c r="B466">
        <f>"+917510181820"</f>
        <v>0</v>
      </c>
    </row>
    <row r="467" spans="1:2">
      <c r="A467" t="s">
        <v>467</v>
      </c>
      <c r="B467">
        <f>"+917670056167"</f>
        <v>0</v>
      </c>
    </row>
    <row r="468" spans="1:2">
      <c r="A468" t="s">
        <v>468</v>
      </c>
      <c r="B468">
        <f>"+919140712042"</f>
        <v>0</v>
      </c>
    </row>
    <row r="469" spans="1:2">
      <c r="A469" t="s">
        <v>469</v>
      </c>
      <c r="B469">
        <f>"+918708001215"</f>
        <v>0</v>
      </c>
    </row>
    <row r="470" spans="1:2">
      <c r="A470" t="s">
        <v>470</v>
      </c>
      <c r="B470">
        <f>"+917905264765"</f>
        <v>0</v>
      </c>
    </row>
    <row r="471" spans="1:2">
      <c r="A471" t="s">
        <v>471</v>
      </c>
      <c r="B471">
        <f>"+919896823922"</f>
        <v>0</v>
      </c>
    </row>
    <row r="472" spans="1:2">
      <c r="A472" t="s">
        <v>472</v>
      </c>
      <c r="B472">
        <f>"+9779824858625"</f>
        <v>0</v>
      </c>
    </row>
    <row r="473" spans="1:2">
      <c r="A473" t="s">
        <v>473</v>
      </c>
      <c r="B473">
        <f>"+917652851870"</f>
        <v>0</v>
      </c>
    </row>
    <row r="474" spans="1:2">
      <c r="A474" t="s">
        <v>474</v>
      </c>
      <c r="B474">
        <f>"+447534039754"</f>
        <v>0</v>
      </c>
    </row>
    <row r="475" spans="1:2">
      <c r="A475" t="s">
        <v>475</v>
      </c>
      <c r="B475">
        <f>"+919380114868"</f>
        <v>0</v>
      </c>
    </row>
    <row r="476" spans="1:2">
      <c r="A476" t="s">
        <v>476</v>
      </c>
      <c r="B476">
        <f>"+917696244756"</f>
        <v>0</v>
      </c>
    </row>
    <row r="477" spans="1:2">
      <c r="A477" t="s">
        <v>477</v>
      </c>
      <c r="B477">
        <f>"+918969698514"</f>
        <v>0</v>
      </c>
    </row>
    <row r="478" spans="1:2">
      <c r="A478" t="s">
        <v>478</v>
      </c>
      <c r="B478">
        <f>"+919689189354"</f>
        <v>0</v>
      </c>
    </row>
    <row r="479" spans="1:2">
      <c r="A479" t="s">
        <v>479</v>
      </c>
      <c r="B479">
        <f>"+916394413200"</f>
        <v>0</v>
      </c>
    </row>
    <row r="480" spans="1:2">
      <c r="A480" t="s">
        <v>480</v>
      </c>
      <c r="B480">
        <f>"+917814689654"</f>
        <v>0</v>
      </c>
    </row>
    <row r="481" spans="1:2">
      <c r="A481" t="s">
        <v>481</v>
      </c>
      <c r="B481">
        <f>"+916398110850"</f>
        <v>0</v>
      </c>
    </row>
    <row r="482" spans="1:2">
      <c r="A482" t="s">
        <v>482</v>
      </c>
      <c r="B482">
        <f>"+254700851351"</f>
        <v>0</v>
      </c>
    </row>
    <row r="483" spans="1:2">
      <c r="A483" t="s">
        <v>483</v>
      </c>
      <c r="B483">
        <f>"+919505040198"</f>
        <v>0</v>
      </c>
    </row>
    <row r="484" spans="1:2">
      <c r="A484" t="s">
        <v>484</v>
      </c>
      <c r="B484">
        <f>"+918637706873"</f>
        <v>0</v>
      </c>
    </row>
    <row r="485" spans="1:2">
      <c r="A485" t="s">
        <v>485</v>
      </c>
      <c r="B485">
        <f>"+919060258018"</f>
        <v>0</v>
      </c>
    </row>
    <row r="486" spans="1:2">
      <c r="A486" t="s">
        <v>486</v>
      </c>
      <c r="B486">
        <f>"+919508886279"</f>
        <v>0</v>
      </c>
    </row>
    <row r="487" spans="1:2">
      <c r="A487" t="s">
        <v>487</v>
      </c>
      <c r="B487">
        <f>"+917569146753"</f>
        <v>0</v>
      </c>
    </row>
    <row r="488" spans="1:2">
      <c r="A488" t="s">
        <v>488</v>
      </c>
      <c r="B488">
        <f>"+919696131914"</f>
        <v>0</v>
      </c>
    </row>
    <row r="489" spans="1:2">
      <c r="A489" t="s">
        <v>489</v>
      </c>
      <c r="B489">
        <f>"+918750058923"</f>
        <v>0</v>
      </c>
    </row>
    <row r="490" spans="1:2">
      <c r="A490" t="s">
        <v>490</v>
      </c>
      <c r="B490">
        <f>"+919767717684"</f>
        <v>0</v>
      </c>
    </row>
    <row r="491" spans="1:2">
      <c r="A491" t="s">
        <v>491</v>
      </c>
      <c r="B491">
        <f>"+918875142120"</f>
        <v>0</v>
      </c>
    </row>
    <row r="492" spans="1:2">
      <c r="A492" t="s">
        <v>492</v>
      </c>
      <c r="B492">
        <f>"+918979798902"</f>
        <v>0</v>
      </c>
    </row>
    <row r="493" spans="1:2">
      <c r="A493" t="s">
        <v>493</v>
      </c>
      <c r="B493">
        <f>"+919651647726"</f>
        <v>0</v>
      </c>
    </row>
    <row r="494" spans="1:2">
      <c r="A494" t="s">
        <v>494</v>
      </c>
      <c r="B494">
        <f>"+916382560179"</f>
        <v>0</v>
      </c>
    </row>
    <row r="495" spans="1:2">
      <c r="A495" t="s">
        <v>495</v>
      </c>
      <c r="B495">
        <f>"+916264830014"</f>
        <v>0</v>
      </c>
    </row>
    <row r="496" spans="1:2">
      <c r="A496" t="s">
        <v>496</v>
      </c>
      <c r="B496">
        <f>"+916393145171"</f>
        <v>0</v>
      </c>
    </row>
    <row r="497" spans="1:2">
      <c r="A497" t="s">
        <v>497</v>
      </c>
      <c r="B497">
        <f>"+917880269678"</f>
        <v>0</v>
      </c>
    </row>
    <row r="498" spans="1:2">
      <c r="A498" t="s">
        <v>498</v>
      </c>
      <c r="B498">
        <f>"+916350362152"</f>
        <v>0</v>
      </c>
    </row>
    <row r="499" spans="1:2">
      <c r="A499" t="s">
        <v>499</v>
      </c>
      <c r="B499">
        <f>"+919817586060"</f>
        <v>0</v>
      </c>
    </row>
    <row r="500" spans="1:2">
      <c r="A500" t="s">
        <v>500</v>
      </c>
      <c r="B500">
        <f>"+918080552112"</f>
        <v>0</v>
      </c>
    </row>
    <row r="501" spans="1:2">
      <c r="A501" t="s">
        <v>501</v>
      </c>
      <c r="B501">
        <f>"+918210520089"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2025-11-16T06:18:25Z</dcterms:created>
  <dcterms:modified xsi:type="dcterms:W3CDTF">2025-11-16T06:18:25Z</dcterms:modified>
</cp:coreProperties>
</file>